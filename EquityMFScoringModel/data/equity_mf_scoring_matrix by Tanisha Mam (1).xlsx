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DD7470C-3C77-4A34-B413-D4130BEC7AF8}" xr6:coauthVersionLast="47" xr6:coauthVersionMax="47" xr10:uidLastSave="{00000000-0000-0000-0000-000000000000}"/>
  <bookViews>
    <workbookView xWindow="-110" yWindow="-110" windowWidth="19420" windowHeight="11620" tabRatio="500" activeTab="3" xr2:uid="{00000000-000D-0000-FFFF-FFFF00000000}"/>
  </bookViews>
  <sheets>
    <sheet name="Scoring Matrix" sheetId="1" r:id="rId1"/>
    <sheet name="Rating Scale &amp; Legend" sheetId="2" r:id="rId2"/>
    <sheet name="How to Use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4" i="1" l="1"/>
  <c r="I33" i="1"/>
  <c r="G33" i="1"/>
  <c r="E33" i="1"/>
  <c r="I32" i="1"/>
  <c r="G32" i="1"/>
  <c r="E32" i="1"/>
  <c r="I31" i="1"/>
  <c r="G31" i="1"/>
  <c r="E31" i="1"/>
  <c r="I29" i="1"/>
  <c r="G29" i="1"/>
  <c r="E29" i="1"/>
  <c r="I28" i="1"/>
  <c r="G28" i="1"/>
  <c r="E28" i="1"/>
  <c r="I27" i="1"/>
  <c r="G27" i="1"/>
  <c r="E27" i="1"/>
  <c r="I25" i="1"/>
  <c r="G25" i="1"/>
  <c r="E25" i="1"/>
  <c r="I24" i="1"/>
  <c r="G24" i="1"/>
  <c r="E24" i="1"/>
  <c r="I23" i="1"/>
  <c r="G23" i="1"/>
  <c r="E23" i="1"/>
  <c r="I21" i="1"/>
  <c r="G21" i="1"/>
  <c r="E21" i="1"/>
  <c r="I20" i="1"/>
  <c r="G20" i="1"/>
  <c r="E20" i="1"/>
  <c r="I19" i="1"/>
  <c r="G19" i="1"/>
  <c r="E19" i="1"/>
  <c r="I17" i="1"/>
  <c r="G17" i="1"/>
  <c r="E17" i="1"/>
  <c r="I16" i="1"/>
  <c r="G16" i="1"/>
  <c r="E16" i="1"/>
  <c r="I15" i="1"/>
  <c r="G15" i="1"/>
  <c r="E15" i="1"/>
  <c r="I14" i="1"/>
  <c r="G14" i="1"/>
  <c r="E14" i="1"/>
  <c r="I13" i="1"/>
  <c r="G13" i="1"/>
  <c r="E13" i="1"/>
  <c r="I12" i="1"/>
  <c r="G12" i="1"/>
  <c r="E12" i="1"/>
  <c r="I11" i="1"/>
  <c r="G11" i="1"/>
  <c r="E11" i="1"/>
  <c r="I9" i="1"/>
  <c r="G9" i="1"/>
  <c r="G35" i="1" s="1"/>
  <c r="G36" i="1" s="1"/>
  <c r="E9" i="1"/>
  <c r="I8" i="1"/>
  <c r="I35" i="1" s="1"/>
  <c r="I36" i="1" s="1"/>
  <c r="G8" i="1"/>
  <c r="E8" i="1"/>
  <c r="I7" i="1"/>
  <c r="G7" i="1"/>
  <c r="E7" i="1"/>
  <c r="I6" i="1"/>
  <c r="G6" i="1"/>
  <c r="E6" i="1"/>
  <c r="E35" i="1" s="1"/>
  <c r="E36" i="1" s="1"/>
</calcChain>
</file>

<file path=xl/sharedStrings.xml><?xml version="1.0" encoding="utf-8"?>
<sst xmlns="http://schemas.openxmlformats.org/spreadsheetml/2006/main" count="393" uniqueCount="339">
  <si>
    <t>EQUITY MUTUAL FUND — SCORING &amp; SELECTION MATRIX</t>
  </si>
  <si>
    <t>Score each fund on a scale of 1–5 for every parameter  |  Weighted Total Score drives recommendation</t>
  </si>
  <si>
    <t>PARAMETER</t>
  </si>
  <si>
    <t>MAX
SCORE</t>
  </si>
  <si>
    <t>WEIGHT
(%)</t>
  </si>
  <si>
    <t>FUND A
Score (1–5)</t>
  </si>
  <si>
    <t>FUND A
Wtd Score</t>
  </si>
  <si>
    <t>FUND B
Score (1–5)</t>
  </si>
  <si>
    <t>FUND B
Wtd Score</t>
  </si>
  <si>
    <t>FUND C
Score (1–5)</t>
  </si>
  <si>
    <t>FUND C
Wtd Score</t>
  </si>
  <si>
    <t>SCORING
GUIDE (1)</t>
  </si>
  <si>
    <t>SCORING
GUIDE (3)</t>
  </si>
  <si>
    <t>SCORING
GUIDE (5)</t>
  </si>
  <si>
    <t>DATA
SOURCE</t>
  </si>
  <si>
    <t>NOTES / REMARKS</t>
  </si>
  <si>
    <t xml:space="preserve">  RETURN PARAMETERS</t>
  </si>
  <si>
    <t>Rolling Returns (3Y/5Y)
vs Benchmark</t>
  </si>
  <si>
    <t>Underperforms benchmark most periods</t>
  </si>
  <si>
    <t>Beats benchmark ~50% of rolling periods</t>
  </si>
  <si>
    <t>Consistently beats benchmark &gt;75% periods</t>
  </si>
  <si>
    <t>Value Research / Morningstar</t>
  </si>
  <si>
    <t>Use 1Y rolling returns over 5Y window</t>
  </si>
  <si>
    <t>Alpha (3Y)</t>
  </si>
  <si>
    <t>Negative alpha (&lt;0)</t>
  </si>
  <si>
    <t>Alpha 0–1%</t>
  </si>
  <si>
    <t>Alpha &gt;2% consistently</t>
  </si>
  <si>
    <t>AMC Factsheet / AMFI</t>
  </si>
  <si>
    <t>Jensen's Alpha preferred</t>
  </si>
  <si>
    <t>CAGR vs Category Average
(5Y &amp; 10Y)</t>
  </si>
  <si>
    <t>Below category average</t>
  </si>
  <si>
    <t>Matches category average</t>
  </si>
  <si>
    <t>Top quartile in category</t>
  </si>
  <si>
    <t>Check both 5Y and 10Y</t>
  </si>
  <si>
    <t>SIP Returns (XIRR – 5Y)</t>
  </si>
  <si>
    <t>XIRR &lt;10%</t>
  </si>
  <si>
    <t>XIRR 10–13%</t>
  </si>
  <si>
    <t>XIRR &gt;15%</t>
  </si>
  <si>
    <t>AMC Website / Groww / Kuvera</t>
  </si>
  <si>
    <t>More relevant than lump-sum for retail clients</t>
  </si>
  <si>
    <t xml:space="preserve">  RISK PARAMETERS</t>
  </si>
  <si>
    <t>Standard Deviation
(vs Category)</t>
  </si>
  <si>
    <t>SD significantly above category avg</t>
  </si>
  <si>
    <t>SD near category average</t>
  </si>
  <si>
    <t>SD below category average</t>
  </si>
  <si>
    <t>Lower SD = lower volatility</t>
  </si>
  <si>
    <t>Sharpe Ratio (3Y)</t>
  </si>
  <si>
    <t>Sharpe &lt;0.5</t>
  </si>
  <si>
    <t>Sharpe 0.5–1.0</t>
  </si>
  <si>
    <t>Sharpe &gt;1.0</t>
  </si>
  <si>
    <t>Morningstar / AMC Factsheet</t>
  </si>
  <si>
    <t>Return per unit total risk</t>
  </si>
  <si>
    <t>Sortino Ratio (3Y)</t>
  </si>
  <si>
    <t>Sortino &lt;0.5</t>
  </si>
  <si>
    <t>Sortino 0.5–1.0</t>
  </si>
  <si>
    <t>Sortino &gt;1.0</t>
  </si>
  <si>
    <t>Value Research Pro</t>
  </si>
  <si>
    <t>Downside risk only — more relevant than Sharpe</t>
  </si>
  <si>
    <t>Maximum Drawdown</t>
  </si>
  <si>
    <t>Drawdown &gt;35% in market fall</t>
  </si>
  <si>
    <t>Drawdown 20–35%</t>
  </si>
  <si>
    <t>Drawdown &lt;20%</t>
  </si>
  <si>
    <t>AMC Factsheet / Morningstar</t>
  </si>
  <si>
    <t>Check during 2020 COVID &amp; 2008 crash</t>
  </si>
  <si>
    <t>Downside Capture Ratio</t>
  </si>
  <si>
    <t>Downside capture &gt;100%</t>
  </si>
  <si>
    <t>Downside capture 80–100%</t>
  </si>
  <si>
    <t>Downside capture &lt;80%</t>
  </si>
  <si>
    <t>Morningstar</t>
  </si>
  <si>
    <t>Lower is better; fund falls less than market</t>
  </si>
  <si>
    <t>Upside Capture Ratio</t>
  </si>
  <si>
    <t>Upside capture &lt;90%</t>
  </si>
  <si>
    <t>Upside capture 90–100%</t>
  </si>
  <si>
    <t>Upside capture &gt;100%</t>
  </si>
  <si>
    <t>Higher is better; fund captures more of market rally</t>
  </si>
  <si>
    <t>Beta</t>
  </si>
  <si>
    <t>Beta &gt;1.3 (high market sensitivity)</t>
  </si>
  <si>
    <t>Beta 0.9–1.1</t>
  </si>
  <si>
    <t>Beta &lt;0.9 (less volatile than market)</t>
  </si>
  <si>
    <t>Value Research / Bloomberg</t>
  </si>
  <si>
    <t>Low beta preferred for conservative clients</t>
  </si>
  <si>
    <t xml:space="preserve">  FUND QUALITY &amp; MANAGER</t>
  </si>
  <si>
    <t>Fund Manager Track Record
&amp; Tenure</t>
  </si>
  <si>
    <t>Manager &lt;2 yrs or poor history</t>
  </si>
  <si>
    <t>Manager 2–5 yrs, decent record</t>
  </si>
  <si>
    <t>Manager &gt;5 yrs, consistent alpha</t>
  </si>
  <si>
    <t>AMC Website / News</t>
  </si>
  <si>
    <t>Check performance before &amp; after manager change</t>
  </si>
  <si>
    <t>AMC Reputation &amp; Research
Capability</t>
  </si>
  <si>
    <t>Small / new AMC, limited research</t>
  </si>
  <si>
    <t>Mid-sized AMC, adequate resources</t>
  </si>
  <si>
    <t>Top-tier AMC with strong research team</t>
  </si>
  <si>
    <t>AMFI / Industry Reports</t>
  </si>
  <si>
    <t>HDFC, SBI, ICICI, Nippon, Mirae, Axis etc.</t>
  </si>
  <si>
    <t>Investment Style Consistency</t>
  </si>
  <si>
    <t>Style drift evident</t>
  </si>
  <si>
    <t>Mostly consistent with occasional drift</t>
  </si>
  <si>
    <t>Strict style discipline maintained</t>
  </si>
  <si>
    <t>AMC Factsheet / Portfolio Analysis</t>
  </si>
  <si>
    <t>Value vs Growth vs Blend</t>
  </si>
  <si>
    <t xml:space="preserve">  PORTFOLIO &amp; STRUCTURE</t>
  </si>
  <si>
    <t>Portfolio Concentration
(Top 10 stocks %)</t>
  </si>
  <si>
    <t>Top 10 &gt;60% (high concentration risk)</t>
  </si>
  <si>
    <t>Top 10 40–60%</t>
  </si>
  <si>
    <t>Top 10 &lt;40% (well diversified)</t>
  </si>
  <si>
    <t>AMC Monthly Portfolio Disclosure</t>
  </si>
  <si>
    <t>SEBI mandates monthly disclosure</t>
  </si>
  <si>
    <t>Sector Diversification</t>
  </si>
  <si>
    <t>Heavily skewed to 1–2 sectors</t>
  </si>
  <si>
    <t>3–4 sectors, moderate concentration</t>
  </si>
  <si>
    <t>Well spread across 5+ sectors</t>
  </si>
  <si>
    <t>AMC Factsheet</t>
  </si>
  <si>
    <t>Avoid over-exposure to cyclicals</t>
  </si>
  <si>
    <t>Overlap with Client's
Existing Holdings</t>
  </si>
  <si>
    <t>High overlap &gt;50% with existing funds</t>
  </si>
  <si>
    <t>Moderate overlap 25–50%</t>
  </si>
  <si>
    <t>Low overlap &lt;25%</t>
  </si>
  <si>
    <t>Morningstar X-Ray / Portfolio Overlap Tool</t>
  </si>
  <si>
    <t>Overlap reduces diversification benefit</t>
  </si>
  <si>
    <t xml:space="preserve">  COST &amp; OPERATIONAL</t>
  </si>
  <si>
    <t>Expense Ratio
(vs Category Average)</t>
  </si>
  <si>
    <t>ER significantly above category avg</t>
  </si>
  <si>
    <t>ER near category average</t>
  </si>
  <si>
    <t>ER below category average (Direct plan)</t>
  </si>
  <si>
    <t>AMFI / AMC Website</t>
  </si>
  <si>
    <t>Direct plans always preferred</t>
  </si>
  <si>
    <t>Exit Load Structure</t>
  </si>
  <si>
    <t>High exit load &gt;2% or long lock-in</t>
  </si>
  <si>
    <t>Moderate exit load 1% up to 1Y</t>
  </si>
  <si>
    <t>No exit load or minimal</t>
  </si>
  <si>
    <t>AMC SID / Factsheet</t>
  </si>
  <si>
    <t>Important for client with liquidity needs</t>
  </si>
  <si>
    <t>AUM Size
(Category-adjusted)</t>
  </si>
  <si>
    <t>Too small (&lt;500 Cr) or too large for category</t>
  </si>
  <si>
    <t>Adequate size for category</t>
  </si>
  <si>
    <t>Optimal range for fund category</t>
  </si>
  <si>
    <t>Mid/small-cap: watch AUM closely &gt;10,000 Cr</t>
  </si>
  <si>
    <t xml:space="preserve">  CLIENT SUITABILITY</t>
  </si>
  <si>
    <t>Risk Profile Alignment</t>
  </si>
  <si>
    <t>Fund risk &gt;&gt; Client risk tolerance</t>
  </si>
  <si>
    <t>Moderate mismatch</t>
  </si>
  <si>
    <t>Perfect alignment</t>
  </si>
  <si>
    <t>Client KYC / Risk Profiling</t>
  </si>
  <si>
    <t>Non-negotiable — always check first</t>
  </si>
  <si>
    <t>Investment Horizon Match</t>
  </si>
  <si>
    <t>Horizon too short for fund type</t>
  </si>
  <si>
    <t>Borderline horizon</t>
  </si>
  <si>
    <t>Horizon well-suited to fund type</t>
  </si>
  <si>
    <t>Client Financial Plan</t>
  </si>
  <si>
    <t>Small-cap needs 7Y+; Large-cap 3Y+</t>
  </si>
  <si>
    <t>Goal Alignment</t>
  </si>
  <si>
    <t>Fund does not match stated goal</t>
  </si>
  <si>
    <t>Partial goal alignment</t>
  </si>
  <si>
    <t>Fund directly serves client goal</t>
  </si>
  <si>
    <t>Retirement, wealth creation, education, etc.</t>
  </si>
  <si>
    <t>TOTAL WEIGHT CHECK</t>
  </si>
  <si>
    <t>TOTAL WEIGHTED SCORE  (Max = 5.00)</t>
  </si>
  <si>
    <t>100%</t>
  </si>
  <si>
    <t>—</t>
  </si>
  <si>
    <t>RECOMMENDATION</t>
  </si>
  <si>
    <t>RATING SCALE, LEGEND &amp; INTERPRETATION GUIDE</t>
  </si>
  <si>
    <t>Score</t>
  </si>
  <si>
    <t>Label</t>
  </si>
  <si>
    <t>Meaning</t>
  </si>
  <si>
    <t>Action</t>
  </si>
  <si>
    <t>■ See color</t>
  </si>
  <si>
    <t>Excellent</t>
  </si>
  <si>
    <t>Top quartile, outstanding</t>
  </si>
  <si>
    <t>Strong inclusion</t>
  </si>
  <si>
    <t>Good</t>
  </si>
  <si>
    <t>Above average, consistent</t>
  </si>
  <si>
    <t>Include with confidence</t>
  </si>
  <si>
    <t>Average</t>
  </si>
  <si>
    <t>In line with peers</t>
  </si>
  <si>
    <t>Include conditionally</t>
  </si>
  <si>
    <t>Below Avg</t>
  </si>
  <si>
    <t>Underperforms most peers</t>
  </si>
  <si>
    <t>Avoid or monitor</t>
  </si>
  <si>
    <t>Poor</t>
  </si>
  <si>
    <t>Significant weakness</t>
  </si>
  <si>
    <t>Do not recommend</t>
  </si>
  <si>
    <t>TOTAL WEIGHTED SCORE — INTERPRETATION</t>
  </si>
  <si>
    <t>Score Range</t>
  </si>
  <si>
    <t>Rating</t>
  </si>
  <si>
    <t>Recommendation</t>
  </si>
  <si>
    <t>Action for Advisor</t>
  </si>
  <si>
    <t>4.50 – 5.00</t>
  </si>
  <si>
    <t>Outstanding</t>
  </si>
  <si>
    <t>Strong Buy</t>
  </si>
  <si>
    <t>Recommend confidently</t>
  </si>
  <si>
    <t>4.00 – 4.49</t>
  </si>
  <si>
    <t>Buy</t>
  </si>
  <si>
    <t>Recommend with brief rationale</t>
  </si>
  <si>
    <t>3.50 – 3.99</t>
  </si>
  <si>
    <t>Buy / Watch</t>
  </si>
  <si>
    <t>Recommend, set review trigger</t>
  </si>
  <si>
    <t>3.00 – 3.49</t>
  </si>
  <si>
    <t>Hold / Consider</t>
  </si>
  <si>
    <t>Include only if no better option</t>
  </si>
  <si>
    <t>2.50 – 2.99</t>
  </si>
  <si>
    <t>Below Average</t>
  </si>
  <si>
    <t>Avoid</t>
  </si>
  <si>
    <t>Do not recommend; show alternatives</t>
  </si>
  <si>
    <t>&lt; 2.50</t>
  </si>
  <si>
    <t>Reject</t>
  </si>
  <si>
    <t>Exclude and document reason</t>
  </si>
  <si>
    <t>AUM SIZE SCORING GUIDE BY FUND CATEGORY</t>
  </si>
  <si>
    <t>Fund Category</t>
  </si>
  <si>
    <t>Score 1 (Poor)</t>
  </si>
  <si>
    <t>Score 3 (Average)</t>
  </si>
  <si>
    <t>Score 5 (Ideal)</t>
  </si>
  <si>
    <t>Key Reason</t>
  </si>
  <si>
    <t>Large-Cap</t>
  </si>
  <si>
    <t>&lt;100 Cr</t>
  </si>
  <si>
    <t>500–5,000 Cr</t>
  </si>
  <si>
    <t>5,000–40,000 Cr</t>
  </si>
  <si>
    <t>High-liquidity stocks absorb large trades</t>
  </si>
  <si>
    <t>Mid-Cap</t>
  </si>
  <si>
    <t>&lt;200 Cr</t>
  </si>
  <si>
    <t>1,000–10,000 Cr</t>
  </si>
  <si>
    <t>2,000–15,000 Cr</t>
  </si>
  <si>
    <t>Large AUM reduces agility</t>
  </si>
  <si>
    <t>Small-Cap</t>
  </si>
  <si>
    <t>500–8,000 Cr</t>
  </si>
  <si>
    <t>Most sensitive; deployment risk beyond 10K Cr</t>
  </si>
  <si>
    <t>Flexi-Cap</t>
  </si>
  <si>
    <t>&lt;300 Cr</t>
  </si>
  <si>
    <t>5,000–25,000 Cr</t>
  </si>
  <si>
    <t>Depends on mid/small allocation</t>
  </si>
  <si>
    <t>Sectoral / Thematic</t>
  </si>
  <si>
    <t>&lt;50 Cr</t>
  </si>
  <si>
    <t>200–3,000 Cr</t>
  </si>
  <si>
    <t>Niche sectors have limited investable universe</t>
  </si>
  <si>
    <t>ELSS</t>
  </si>
  <si>
    <t>3,000–20,000 Cr</t>
  </si>
  <si>
    <t>3Y lock-in provides stability regardless of AUM</t>
  </si>
  <si>
    <t>HOW TO USE THIS SCORING MATRIX</t>
  </si>
  <si>
    <t>STEP 1</t>
  </si>
  <si>
    <t>Name your funds  —  Replace 'Fund A', 'Fund B', 'Fund C' in the header row with actual fund names</t>
  </si>
  <si>
    <t>STEP 2</t>
  </si>
  <si>
    <t>Gather data  —  Collect data from Value Research, Morningstar, AMC factsheets, and AMFI for each parameter</t>
  </si>
  <si>
    <t>STEP 3</t>
  </si>
  <si>
    <t>Score each fund  —  Enter a score of 1–5 in the blue-highlighted cells (columns D, F, H) using the Scoring Guide columns</t>
  </si>
  <si>
    <t>STEP 4</t>
  </si>
  <si>
    <t>Review weighted scores  —  Green cells auto-calculate weighted scores. Total score appears at the bottom of each fund column</t>
  </si>
  <si>
    <t>STEP 5</t>
  </si>
  <si>
    <t>Check recommendation  —  The Recommendation row shows ✅ RECOMMEND / ⚠️ CONSIDER / ❌ DO NOT RECOMMEND based on total score</t>
  </si>
  <si>
    <t>STEP 6</t>
  </si>
  <si>
    <t>Adjust weights if needed  —  You may change the % weights in column C to match client priorities — ensure total = 100%</t>
  </si>
  <si>
    <t>STEP 7</t>
  </si>
  <si>
    <t>Document rationale  —  Use the Notes column to record specific observations for compliance documentation</t>
  </si>
  <si>
    <t>STEP 8</t>
  </si>
  <si>
    <t>Client presentation  —  Use the final scores and recommendation row to explain fund selection rationale to the client</t>
  </si>
  <si>
    <t>Rolling Returns (3Y/5Y) vs Benchmark</t>
  </si>
  <si>
    <r>
      <t>5</t>
    </r>
    <r>
      <rPr>
        <sz val="11"/>
        <color theme="1"/>
        <rFont val="Calibri"/>
        <family val="2"/>
        <charset val="1"/>
      </rPr>
      <t xml:space="preserve">: Alpha </t>
    </r>
    <r>
      <rPr>
        <b/>
        <sz val="11"/>
        <color theme="1"/>
        <rFont val="Calibri"/>
        <family val="2"/>
        <charset val="1"/>
      </rPr>
      <t>&gt;2%</t>
    </r>
    <r>
      <rPr>
        <sz val="11"/>
        <color theme="1"/>
        <rFont val="Calibri"/>
        <family val="2"/>
        <charset val="1"/>
      </rPr>
      <t xml:space="preserve"> consistently</t>
    </r>
  </si>
  <si>
    <r>
      <t>4</t>
    </r>
    <r>
      <rPr>
        <sz val="11"/>
        <color theme="1"/>
        <rFont val="Calibri"/>
        <family val="2"/>
        <charset val="1"/>
      </rPr>
      <t xml:space="preserve">: Alpha </t>
    </r>
    <r>
      <rPr>
        <b/>
        <sz val="11"/>
        <color theme="1"/>
        <rFont val="Calibri"/>
        <family val="2"/>
        <charset val="1"/>
      </rPr>
      <t>1.0–2.0%</t>
    </r>
  </si>
  <si>
    <r>
      <t>3</t>
    </r>
    <r>
      <rPr>
        <sz val="11"/>
        <color theme="1"/>
        <rFont val="Calibri"/>
        <family val="2"/>
        <charset val="1"/>
      </rPr>
      <t xml:space="preserve">: Alpha </t>
    </r>
    <r>
      <rPr>
        <b/>
        <sz val="11"/>
        <color theme="1"/>
        <rFont val="Calibri"/>
        <family val="2"/>
        <charset val="1"/>
      </rPr>
      <t>0–1.0%</t>
    </r>
  </si>
  <si>
    <r>
      <t>2</t>
    </r>
    <r>
      <rPr>
        <sz val="11"/>
        <color theme="1"/>
        <rFont val="Calibri"/>
        <family val="2"/>
        <charset val="1"/>
      </rPr>
      <t xml:space="preserve">: Alpha </t>
    </r>
    <r>
      <rPr>
        <b/>
        <sz val="11"/>
        <color theme="1"/>
        <rFont val="Calibri"/>
        <family val="2"/>
        <charset val="1"/>
      </rPr>
      <t>-1.0 to 0%</t>
    </r>
  </si>
  <si>
    <r>
      <t>1</t>
    </r>
    <r>
      <rPr>
        <sz val="11"/>
        <color theme="1"/>
        <rFont val="Calibri"/>
        <family val="2"/>
        <charset val="1"/>
      </rPr>
      <t xml:space="preserve">: Alpha </t>
    </r>
    <r>
      <rPr>
        <b/>
        <sz val="11"/>
        <color theme="1"/>
        <rFont val="Calibri"/>
        <family val="2"/>
        <charset val="1"/>
      </rPr>
      <t>negative (&lt; -1%)</t>
    </r>
  </si>
  <si>
    <t>Average Annual Excess Return vs Benchmark</t>
  </si>
  <si>
    <t>Rationale</t>
  </si>
  <si>
    <t>+2.5% or higher</t>
  </si>
  <si>
    <t>Fund consistently delivers strong outperformance</t>
  </si>
  <si>
    <t>+1.5% to +2.49%</t>
  </si>
  <si>
    <t>Solid and reliable outperformance</t>
  </si>
  <si>
    <t>+0.5% to +1.49%</t>
  </si>
  <si>
    <t>Moderate outperformance, in line with good peers</t>
  </si>
  <si>
    <r>
      <t>0% to +0.49%</t>
    </r>
    <r>
      <rPr>
        <sz val="11"/>
        <color theme="1"/>
        <rFont val="Calibri"/>
        <family val="2"/>
        <charset val="1"/>
      </rPr>
      <t xml:space="preserve"> or </t>
    </r>
    <r>
      <rPr>
        <b/>
        <sz val="11"/>
        <color theme="1"/>
        <rFont val="Calibri"/>
        <family val="2"/>
        <charset val="1"/>
      </rPr>
      <t>-0.01% to -0.99%</t>
    </r>
  </si>
  <si>
    <t>Almost flat or marginal underperformance</t>
  </si>
  <si>
    <t>-1.0% or worse</t>
  </si>
  <si>
    <t>Consistent underperformance vs benchmark</t>
  </si>
  <si>
    <r>
      <t>5 (Excellent)</t>
    </r>
    <r>
      <rPr>
        <sz val="11"/>
        <color theme="1"/>
        <rFont val="Calibri"/>
        <family val="2"/>
        <charset val="1"/>
      </rPr>
      <t xml:space="preserve">: Average excess return </t>
    </r>
    <r>
      <rPr>
        <b/>
        <sz val="11"/>
        <color theme="1"/>
        <rFont val="Calibri"/>
        <family val="2"/>
        <charset val="1"/>
      </rPr>
      <t>+3.0% or higher</t>
    </r>
    <r>
      <rPr>
        <sz val="11"/>
        <color theme="1"/>
        <rFont val="Calibri"/>
        <family val="2"/>
        <charset val="1"/>
      </rPr>
      <t xml:space="preserve"> (or Top Quartile in both 5Y &amp; 10Y)</t>
    </r>
  </si>
  <si>
    <r>
      <t>4 (Good)</t>
    </r>
    <r>
      <rPr>
        <sz val="11"/>
        <color theme="1"/>
        <rFont val="Calibri"/>
        <family val="2"/>
        <charset val="1"/>
      </rPr>
      <t xml:space="preserve">: Average excess return </t>
    </r>
    <r>
      <rPr>
        <b/>
        <sz val="11"/>
        <color theme="1"/>
        <rFont val="Calibri"/>
        <family val="2"/>
        <charset val="1"/>
      </rPr>
      <t>+1.5% to +2.99%</t>
    </r>
    <r>
      <rPr>
        <sz val="11"/>
        <color theme="1"/>
        <rFont val="Calibri"/>
        <family val="2"/>
        <charset val="1"/>
      </rPr>
      <t xml:space="preserve"> (or Top Quartile in at least one period)</t>
    </r>
  </si>
  <si>
    <r>
      <t>3 (Average)</t>
    </r>
    <r>
      <rPr>
        <sz val="11"/>
        <color theme="1"/>
        <rFont val="Calibri"/>
        <family val="2"/>
        <charset val="1"/>
      </rPr>
      <t xml:space="preserve">: Average excess return </t>
    </r>
    <r>
      <rPr>
        <b/>
        <sz val="11"/>
        <color theme="1"/>
        <rFont val="Calibri"/>
        <family val="2"/>
        <charset val="1"/>
      </rPr>
      <t>+0.5% to +1.49%</t>
    </r>
  </si>
  <si>
    <r>
      <t>2 (Below Average)</t>
    </r>
    <r>
      <rPr>
        <sz val="11"/>
        <color theme="1"/>
        <rFont val="Calibri"/>
        <family val="2"/>
        <charset val="1"/>
      </rPr>
      <t xml:space="preserve">: Average excess return </t>
    </r>
    <r>
      <rPr>
        <b/>
        <sz val="11"/>
        <color theme="1"/>
        <rFont val="Calibri"/>
        <family val="2"/>
        <charset val="1"/>
      </rPr>
      <t>-1.99% to +0.49%</t>
    </r>
  </si>
  <si>
    <r>
      <t>1 (Poor)</t>
    </r>
    <r>
      <rPr>
        <sz val="11"/>
        <color theme="1"/>
        <rFont val="Calibri"/>
        <family val="2"/>
        <charset val="1"/>
      </rPr>
      <t xml:space="preserve">: Average excess return </t>
    </r>
    <r>
      <rPr>
        <b/>
        <sz val="11"/>
        <color theme="1"/>
        <rFont val="Calibri"/>
        <family val="2"/>
        <charset val="1"/>
      </rPr>
      <t>-2.0% or worse</t>
    </r>
  </si>
  <si>
    <t>CAGR vs Category Average (5Y &amp; 10Y)</t>
  </si>
  <si>
    <r>
      <t>5 (Excellent)</t>
    </r>
    <r>
      <rPr>
        <sz val="11"/>
        <color theme="1"/>
        <rFont val="Calibri"/>
        <family val="2"/>
        <charset val="1"/>
      </rPr>
      <t xml:space="preserve">: XIRR </t>
    </r>
    <r>
      <rPr>
        <b/>
        <sz val="11"/>
        <color theme="1"/>
        <rFont val="Calibri"/>
        <family val="2"/>
        <charset val="1"/>
      </rPr>
      <t>&gt; 16%</t>
    </r>
  </si>
  <si>
    <r>
      <t>4 (Good)</t>
    </r>
    <r>
      <rPr>
        <sz val="11"/>
        <color theme="1"/>
        <rFont val="Calibri"/>
        <family val="2"/>
        <charset val="1"/>
      </rPr>
      <t xml:space="preserve">: XIRR </t>
    </r>
    <r>
      <rPr>
        <b/>
        <sz val="11"/>
        <color theme="1"/>
        <rFont val="Calibri"/>
        <family val="2"/>
        <charset val="1"/>
      </rPr>
      <t>14% – 16%</t>
    </r>
  </si>
  <si>
    <r>
      <t>3 (Average)</t>
    </r>
    <r>
      <rPr>
        <sz val="11"/>
        <color theme="1"/>
        <rFont val="Calibri"/>
        <family val="2"/>
        <charset val="1"/>
      </rPr>
      <t xml:space="preserve">: XIRR </t>
    </r>
    <r>
      <rPr>
        <b/>
        <sz val="11"/>
        <color theme="1"/>
        <rFont val="Calibri"/>
        <family val="2"/>
        <charset val="1"/>
      </rPr>
      <t>11% – 13.99%</t>
    </r>
  </si>
  <si>
    <r>
      <t>2 (Below Average)</t>
    </r>
    <r>
      <rPr>
        <sz val="11"/>
        <color theme="1"/>
        <rFont val="Calibri"/>
        <family val="2"/>
        <charset val="1"/>
      </rPr>
      <t xml:space="preserve">: XIRR </t>
    </r>
    <r>
      <rPr>
        <b/>
        <sz val="11"/>
        <color theme="1"/>
        <rFont val="Calibri"/>
        <family val="2"/>
        <charset val="1"/>
      </rPr>
      <t>8% – 10.99%</t>
    </r>
  </si>
  <si>
    <r>
      <t>1 (Poor)</t>
    </r>
    <r>
      <rPr>
        <sz val="11"/>
        <color theme="1"/>
        <rFont val="Calibri"/>
        <family val="2"/>
        <charset val="1"/>
      </rPr>
      <t xml:space="preserve">: XIRR </t>
    </r>
    <r>
      <rPr>
        <b/>
        <sz val="11"/>
        <color theme="1"/>
        <rFont val="Calibri"/>
        <family val="2"/>
        <charset val="1"/>
      </rPr>
      <t>&lt; 8%</t>
    </r>
  </si>
  <si>
    <r>
      <t>5 (Excellent)</t>
    </r>
    <r>
      <rPr>
        <sz val="11"/>
        <color theme="1"/>
        <rFont val="Calibri"/>
        <family val="2"/>
        <charset val="1"/>
      </rPr>
      <t xml:space="preserve">: </t>
    </r>
    <r>
      <rPr>
        <b/>
        <sz val="11"/>
        <color theme="1"/>
        <rFont val="Calibri"/>
        <family val="2"/>
        <charset val="1"/>
      </rPr>
      <t>&gt; 20% below</t>
    </r>
    <r>
      <rPr>
        <sz val="11"/>
        <color theme="1"/>
        <rFont val="Calibri"/>
        <family val="2"/>
        <charset val="1"/>
      </rPr>
      <t xml:space="preserve"> category average</t>
    </r>
  </si>
  <si>
    <r>
      <t>4 (Good)</t>
    </r>
    <r>
      <rPr>
        <sz val="11"/>
        <color theme="1"/>
        <rFont val="Calibri"/>
        <family val="2"/>
        <charset val="1"/>
      </rPr>
      <t xml:space="preserve">: </t>
    </r>
    <r>
      <rPr>
        <b/>
        <sz val="11"/>
        <color theme="1"/>
        <rFont val="Calibri"/>
        <family val="2"/>
        <charset val="1"/>
      </rPr>
      <t>10% – 20% below</t>
    </r>
    <r>
      <rPr>
        <sz val="11"/>
        <color theme="1"/>
        <rFont val="Calibri"/>
        <family val="2"/>
        <charset val="1"/>
      </rPr>
      <t xml:space="preserve"> category average</t>
    </r>
  </si>
  <si>
    <r>
      <t>3 (Average)</t>
    </r>
    <r>
      <rPr>
        <sz val="11"/>
        <color theme="1"/>
        <rFont val="Calibri"/>
        <family val="2"/>
        <charset val="1"/>
      </rPr>
      <t xml:space="preserve">: </t>
    </r>
    <r>
      <rPr>
        <b/>
        <sz val="11"/>
        <color theme="1"/>
        <rFont val="Calibri"/>
        <family val="2"/>
        <charset val="1"/>
      </rPr>
      <t>Within ±10%</t>
    </r>
    <r>
      <rPr>
        <sz val="11"/>
        <color theme="1"/>
        <rFont val="Calibri"/>
        <family val="2"/>
        <charset val="1"/>
      </rPr>
      <t xml:space="preserve"> of category average</t>
    </r>
  </si>
  <si>
    <r>
      <t>2 (Below Average)</t>
    </r>
    <r>
      <rPr>
        <sz val="11"/>
        <color theme="1"/>
        <rFont val="Calibri"/>
        <family val="2"/>
        <charset val="1"/>
      </rPr>
      <t xml:space="preserve">: </t>
    </r>
    <r>
      <rPr>
        <b/>
        <sz val="11"/>
        <color theme="1"/>
        <rFont val="Calibri"/>
        <family val="2"/>
        <charset val="1"/>
      </rPr>
      <t>10% – 25% above</t>
    </r>
    <r>
      <rPr>
        <sz val="11"/>
        <color theme="1"/>
        <rFont val="Calibri"/>
        <family val="2"/>
        <charset val="1"/>
      </rPr>
      <t xml:space="preserve"> category average</t>
    </r>
  </si>
  <si>
    <r>
      <t>1 (Poor)</t>
    </r>
    <r>
      <rPr>
        <sz val="11"/>
        <color theme="1"/>
        <rFont val="Calibri"/>
        <family val="2"/>
        <charset val="1"/>
      </rPr>
      <t xml:space="preserve">: </t>
    </r>
    <r>
      <rPr>
        <b/>
        <sz val="11"/>
        <color theme="1"/>
        <rFont val="Calibri"/>
        <family val="2"/>
        <charset val="1"/>
      </rPr>
      <t>&gt; 25% above</t>
    </r>
    <r>
      <rPr>
        <sz val="11"/>
        <color theme="1"/>
        <rFont val="Calibri"/>
        <family val="2"/>
        <charset val="1"/>
      </rPr>
      <t xml:space="preserve"> category average</t>
    </r>
  </si>
  <si>
    <t xml:space="preserve"> Standard Deviation (vs Category Average)</t>
  </si>
  <si>
    <r>
      <t>5 (Excellent)</t>
    </r>
    <r>
      <rPr>
        <sz val="11"/>
        <color theme="1"/>
        <rFont val="Calibri"/>
        <family val="2"/>
        <charset val="1"/>
      </rPr>
      <t xml:space="preserve">: Sharpe </t>
    </r>
    <r>
      <rPr>
        <b/>
        <sz val="11"/>
        <color theme="1"/>
        <rFont val="Calibri"/>
        <family val="2"/>
        <charset val="1"/>
      </rPr>
      <t>&gt; 1.20</t>
    </r>
  </si>
  <si>
    <r>
      <t>4 (Good)</t>
    </r>
    <r>
      <rPr>
        <sz val="11"/>
        <color theme="1"/>
        <rFont val="Calibri"/>
        <family val="2"/>
        <charset val="1"/>
      </rPr>
      <t xml:space="preserve">: Sharpe </t>
    </r>
    <r>
      <rPr>
        <b/>
        <sz val="11"/>
        <color theme="1"/>
        <rFont val="Calibri"/>
        <family val="2"/>
        <charset val="1"/>
      </rPr>
      <t>1.00 – 1.19</t>
    </r>
  </si>
  <si>
    <r>
      <t>3 (Average)</t>
    </r>
    <r>
      <rPr>
        <sz val="11"/>
        <color theme="1"/>
        <rFont val="Calibri"/>
        <family val="2"/>
        <charset val="1"/>
      </rPr>
      <t xml:space="preserve">: Sharpe </t>
    </r>
    <r>
      <rPr>
        <b/>
        <sz val="11"/>
        <color theme="1"/>
        <rFont val="Calibri"/>
        <family val="2"/>
        <charset val="1"/>
      </rPr>
      <t>0.70 – 0.99</t>
    </r>
  </si>
  <si>
    <r>
      <t>2 (Below Average)</t>
    </r>
    <r>
      <rPr>
        <sz val="11"/>
        <color theme="1"/>
        <rFont val="Calibri"/>
        <family val="2"/>
        <charset val="1"/>
      </rPr>
      <t xml:space="preserve">: Sharpe </t>
    </r>
    <r>
      <rPr>
        <b/>
        <sz val="11"/>
        <color theme="1"/>
        <rFont val="Calibri"/>
        <family val="2"/>
        <charset val="1"/>
      </rPr>
      <t>0.40 – 0.69</t>
    </r>
  </si>
  <si>
    <r>
      <t>1 (Poor)</t>
    </r>
    <r>
      <rPr>
        <sz val="11"/>
        <color theme="1"/>
        <rFont val="Calibri"/>
        <family val="2"/>
        <charset val="1"/>
      </rPr>
      <t xml:space="preserve">: Sharpe </t>
    </r>
    <r>
      <rPr>
        <b/>
        <sz val="11"/>
        <color theme="1"/>
        <rFont val="Calibri"/>
        <family val="2"/>
        <charset val="1"/>
      </rPr>
      <t>&lt; 0.40</t>
    </r>
  </si>
  <si>
    <r>
      <t>5 (Excellent)</t>
    </r>
    <r>
      <rPr>
        <sz val="11"/>
        <color theme="1"/>
        <rFont val="Calibri"/>
        <family val="2"/>
        <charset val="1"/>
      </rPr>
      <t xml:space="preserve">: Sortino </t>
    </r>
    <r>
      <rPr>
        <b/>
        <sz val="11"/>
        <color theme="1"/>
        <rFont val="Calibri"/>
        <family val="2"/>
        <charset val="1"/>
      </rPr>
      <t>&gt; 1.50</t>
    </r>
  </si>
  <si>
    <r>
      <t>4 (Good)</t>
    </r>
    <r>
      <rPr>
        <sz val="11"/>
        <color theme="1"/>
        <rFont val="Calibri"/>
        <family val="2"/>
        <charset val="1"/>
      </rPr>
      <t xml:space="preserve">: Sortino </t>
    </r>
    <r>
      <rPr>
        <b/>
        <sz val="11"/>
        <color theme="1"/>
        <rFont val="Calibri"/>
        <family val="2"/>
        <charset val="1"/>
      </rPr>
      <t>1.00 – 1.49</t>
    </r>
  </si>
  <si>
    <r>
      <t>3 (Average)</t>
    </r>
    <r>
      <rPr>
        <sz val="11"/>
        <color theme="1"/>
        <rFont val="Calibri"/>
        <family val="2"/>
        <charset val="1"/>
      </rPr>
      <t xml:space="preserve">: Sortino </t>
    </r>
    <r>
      <rPr>
        <b/>
        <sz val="11"/>
        <color theme="1"/>
        <rFont val="Calibri"/>
        <family val="2"/>
        <charset val="1"/>
      </rPr>
      <t>0.70 – 0.99</t>
    </r>
  </si>
  <si>
    <r>
      <t>2 (Below Average)</t>
    </r>
    <r>
      <rPr>
        <sz val="11"/>
        <color theme="1"/>
        <rFont val="Calibri"/>
        <family val="2"/>
        <charset val="1"/>
      </rPr>
      <t xml:space="preserve">: Sortino </t>
    </r>
    <r>
      <rPr>
        <b/>
        <sz val="11"/>
        <color theme="1"/>
        <rFont val="Calibri"/>
        <family val="2"/>
        <charset val="1"/>
      </rPr>
      <t>0.40 – 0.69</t>
    </r>
  </si>
  <si>
    <r>
      <t>1 (Poor)</t>
    </r>
    <r>
      <rPr>
        <sz val="11"/>
        <color theme="1"/>
        <rFont val="Calibri"/>
        <family val="2"/>
        <charset val="1"/>
      </rPr>
      <t xml:space="preserve">: Sortino </t>
    </r>
    <r>
      <rPr>
        <b/>
        <sz val="11"/>
        <color theme="1"/>
        <rFont val="Calibri"/>
        <family val="2"/>
        <charset val="1"/>
      </rPr>
      <t>&lt; 0.40</t>
    </r>
  </si>
  <si>
    <t>5 (Excellent)</t>
  </si>
  <si>
    <t>&lt; 15%</t>
  </si>
  <si>
    <t>4 (Good)</t>
  </si>
  <si>
    <t>15% – 22%</t>
  </si>
  <si>
    <t>3 (Average)</t>
  </si>
  <si>
    <t>23% – 30%</t>
  </si>
  <si>
    <t>2 (Below Average)</t>
  </si>
  <si>
    <t>31% – 40%</t>
  </si>
  <si>
    <t>1 (Poor)</t>
  </si>
  <si>
    <t>&gt; 40%</t>
  </si>
  <si>
    <t>&lt; 70%</t>
  </si>
  <si>
    <t>Excellent downside protection</t>
  </si>
  <si>
    <t>70% – 85%</t>
  </si>
  <si>
    <t>Good protection in falling markets</t>
  </si>
  <si>
    <t>86% – 100%</t>
  </si>
  <si>
    <t>Matches benchmark downside</t>
  </si>
  <si>
    <t>101% – 115%</t>
  </si>
  <si>
    <t>Loses more than benchmark</t>
  </si>
  <si>
    <t>&gt; 115%</t>
  </si>
  <si>
    <t>Poor protection; amplifies losses</t>
  </si>
  <si>
    <t>&gt; 120%</t>
  </si>
  <si>
    <t>Strongly outperforms in rising markets</t>
  </si>
  <si>
    <t>110% – 120%</t>
  </si>
  <si>
    <t>Good participation in up moves</t>
  </si>
  <si>
    <t>100% – 109%</t>
  </si>
  <si>
    <t>Matches benchmark upside</t>
  </si>
  <si>
    <t>90% – 99%</t>
  </si>
  <si>
    <t>Lags in bull markets</t>
  </si>
  <si>
    <t>&lt; 90%</t>
  </si>
  <si>
    <t>Misses significant upside</t>
  </si>
  <si>
    <t xml:space="preserve">Beta </t>
  </si>
  <si>
    <t>0.70 – 0.90</t>
  </si>
  <si>
    <t>Lower risk than market</t>
  </si>
  <si>
    <t>0.91 – 1.05</t>
  </si>
  <si>
    <t>Slightly less volatile than benchmark</t>
  </si>
  <si>
    <t>1.06 – 1.20</t>
  </si>
  <si>
    <t>Moves in line with market</t>
  </si>
  <si>
    <t>1.21 – 1.40</t>
  </si>
  <si>
    <t>More volatile than benchmark</t>
  </si>
  <si>
    <t>&gt; 1.40</t>
  </si>
  <si>
    <t>Highly volatile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</si>
</sst>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404040"/>
      <name val="Arial"/>
      <family val="2"/>
    </font>
    <font>
      <b/>
      <sz val="10"/>
      <color rgb="FFFFFFFF"/>
      <name val="Arial"/>
      <family val="2"/>
    </font>
    <font>
      <sz val="10"/>
      <color rgb="FF404040"/>
      <name val="Arial"/>
      <family val="2"/>
    </font>
    <font>
      <b/>
      <sz val="11"/>
      <color rgb="FF0000FF"/>
      <name val="Arial"/>
      <family val="2"/>
    </font>
    <font>
      <sz val="10"/>
      <color rgb="FF000000"/>
      <name val="Arial"/>
      <family val="2"/>
    </font>
    <font>
      <sz val="8"/>
      <color rgb="FF7F0000"/>
      <name val="Arial"/>
      <family val="2"/>
    </font>
    <font>
      <sz val="8"/>
      <color rgb="FF7F6000"/>
      <name val="Arial"/>
      <family val="2"/>
    </font>
    <font>
      <sz val="8"/>
      <color rgb="FF375623"/>
      <name val="Arial"/>
      <family val="2"/>
    </font>
    <font>
      <sz val="8"/>
      <color rgb="FF404040"/>
      <name val="Arial"/>
      <family val="2"/>
    </font>
    <font>
      <i/>
      <sz val="8"/>
      <color rgb="FF404040"/>
      <name val="Arial"/>
      <family val="2"/>
    </font>
    <font>
      <b/>
      <sz val="11"/>
      <color rgb="FF000000"/>
      <name val="Arial"/>
      <family val="2"/>
    </font>
    <font>
      <sz val="10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404040"/>
      <name val="Arial"/>
      <family val="2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404040"/>
      <name val="Arial"/>
      <family val="2"/>
    </font>
    <font>
      <b/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C55A11"/>
        <bgColor rgb="FF993300"/>
      </patternFill>
    </fill>
    <fill>
      <patternFill patternType="solid">
        <fgColor rgb="FF404040"/>
        <bgColor rgb="FF375623"/>
      </patternFill>
    </fill>
    <fill>
      <patternFill patternType="solid">
        <fgColor rgb="FFF2F2F2"/>
        <bgColor rgb="FFE2EFDA"/>
      </patternFill>
    </fill>
    <fill>
      <patternFill patternType="solid">
        <fgColor rgb="FFBDD7EE"/>
        <bgColor rgb="FF99CCFF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2F2F2"/>
      </patternFill>
    </fill>
    <fill>
      <patternFill patternType="solid">
        <fgColor rgb="FFFFFF99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375623"/>
        <bgColor rgb="FF404040"/>
      </patternFill>
    </fill>
    <fill>
      <patternFill patternType="solid">
        <fgColor rgb="FF7F6000"/>
        <bgColor rgb="FF993300"/>
      </patternFill>
    </fill>
    <fill>
      <patternFill patternType="solid">
        <fgColor rgb="FFFFCCCC"/>
        <bgColor rgb="FFFCE4D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1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 vertical="center"/>
    </xf>
    <xf numFmtId="1" fontId="5" fillId="8" borderId="1" xfId="0" applyNumberFormat="1" applyFont="1" applyFill="1" applyBorder="1" applyAlignment="1">
      <alignment horizontal="center" vertical="center"/>
    </xf>
    <xf numFmtId="2" fontId="6" fillId="9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/>
    </xf>
    <xf numFmtId="9" fontId="4" fillId="1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9" fontId="12" fillId="11" borderId="1" xfId="0" applyNumberFormat="1" applyFont="1" applyFill="1" applyBorder="1"/>
    <xf numFmtId="0" fontId="3" fillId="2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/>
    </xf>
    <xf numFmtId="2" fontId="1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center" wrapText="1"/>
    </xf>
    <xf numFmtId="0" fontId="20" fillId="16" borderId="0" xfId="0" applyFont="1" applyFill="1"/>
    <xf numFmtId="0" fontId="0" fillId="16" borderId="0" xfId="0" applyFill="1"/>
    <xf numFmtId="0" fontId="3" fillId="6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13" borderId="2" xfId="0" applyFont="1" applyFill="1" applyBorder="1" applyAlignment="1">
      <alignment horizontal="left" vertical="center"/>
    </xf>
    <xf numFmtId="0" fontId="3" fillId="14" borderId="2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4" fillId="1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1" fillId="16" borderId="0" xfId="0" applyFont="1" applyFill="1"/>
    <xf numFmtId="0" fontId="21" fillId="1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2F2F2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E2EFDA"/>
      <rgbColor rgb="FFFFFF99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showGridLines="0" zoomScaleNormal="100" workbookViewId="0">
      <pane ySplit="4" topLeftCell="A13" activePane="bottomLeft" state="frozen"/>
      <selection pane="bottomLeft" activeCell="A14" sqref="A14:A17"/>
    </sheetView>
  </sheetViews>
  <sheetFormatPr defaultColWidth="8.6328125" defaultRowHeight="14.5" x14ac:dyDescent="0.35"/>
  <cols>
    <col min="1" max="1" width="28" customWidth="1"/>
    <col min="2" max="3" width="10" customWidth="1"/>
    <col min="4" max="4" width="12" customWidth="1"/>
    <col min="5" max="5" width="16.08984375" customWidth="1"/>
    <col min="6" max="6" width="12" customWidth="1"/>
    <col min="7" max="7" width="16" customWidth="1"/>
    <col min="8" max="8" width="12" customWidth="1"/>
    <col min="9" max="9" width="12.7265625" customWidth="1"/>
    <col min="10" max="12" width="10" customWidth="1"/>
    <col min="13" max="13" width="14" customWidth="1"/>
    <col min="14" max="14" width="18" customWidth="1"/>
  </cols>
  <sheetData>
    <row r="1" spans="1:14" ht="31.5" customHeight="1" x14ac:dyDescent="0.3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ht="18" customHeight="1" x14ac:dyDescent="0.35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13.5" customHeight="1" x14ac:dyDescent="0.35"/>
    <row r="4" spans="1:14" ht="45.75" customHeight="1" x14ac:dyDescent="0.35">
      <c r="A4" s="2" t="s">
        <v>2</v>
      </c>
      <c r="B4" s="2" t="s">
        <v>3</v>
      </c>
      <c r="C4" s="2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4" t="s">
        <v>11</v>
      </c>
      <c r="K4" s="4" t="s">
        <v>12</v>
      </c>
      <c r="L4" s="4" t="s">
        <v>13</v>
      </c>
      <c r="M4" s="5" t="s">
        <v>14</v>
      </c>
      <c r="N4" s="5" t="s">
        <v>15</v>
      </c>
    </row>
    <row r="5" spans="1:14" ht="18" customHeight="1" x14ac:dyDescent="0.35">
      <c r="A5" s="48" t="s">
        <v>16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14" ht="42" customHeight="1" x14ac:dyDescent="0.35">
      <c r="A6" s="6" t="s">
        <v>17</v>
      </c>
      <c r="B6" s="7">
        <v>5</v>
      </c>
      <c r="C6" s="8">
        <v>0.1</v>
      </c>
      <c r="D6" s="9">
        <v>3</v>
      </c>
      <c r="E6" s="10">
        <f>D6*C6</f>
        <v>0.30000000000000004</v>
      </c>
      <c r="F6" s="9">
        <v>3</v>
      </c>
      <c r="G6" s="10">
        <f>F6*C6</f>
        <v>0.30000000000000004</v>
      </c>
      <c r="H6" s="9">
        <v>3</v>
      </c>
      <c r="I6" s="10">
        <f>H6*C6</f>
        <v>0.30000000000000004</v>
      </c>
      <c r="J6" s="11" t="s">
        <v>18</v>
      </c>
      <c r="K6" s="12" t="s">
        <v>19</v>
      </c>
      <c r="L6" s="13" t="s">
        <v>20</v>
      </c>
      <c r="M6" s="14" t="s">
        <v>21</v>
      </c>
      <c r="N6" s="15" t="s">
        <v>22</v>
      </c>
    </row>
    <row r="7" spans="1:14" ht="42" customHeight="1" x14ac:dyDescent="0.35">
      <c r="A7" s="1" t="s">
        <v>23</v>
      </c>
      <c r="B7" s="16">
        <v>5</v>
      </c>
      <c r="C7" s="17">
        <v>0.08</v>
      </c>
      <c r="D7" s="9">
        <v>3</v>
      </c>
      <c r="E7" s="10">
        <f>D7*C7</f>
        <v>0.24</v>
      </c>
      <c r="F7" s="9">
        <v>3</v>
      </c>
      <c r="G7" s="10">
        <f>F7*C7</f>
        <v>0.24</v>
      </c>
      <c r="H7" s="9">
        <v>3</v>
      </c>
      <c r="I7" s="10">
        <f>H7*C7</f>
        <v>0.24</v>
      </c>
      <c r="J7" s="11" t="s">
        <v>24</v>
      </c>
      <c r="K7" s="12" t="s">
        <v>25</v>
      </c>
      <c r="L7" s="13" t="s">
        <v>26</v>
      </c>
      <c r="M7" s="14" t="s">
        <v>27</v>
      </c>
      <c r="N7" s="15" t="s">
        <v>28</v>
      </c>
    </row>
    <row r="8" spans="1:14" ht="42" customHeight="1" x14ac:dyDescent="0.35">
      <c r="A8" s="6" t="s">
        <v>29</v>
      </c>
      <c r="B8" s="7">
        <v>5</v>
      </c>
      <c r="C8" s="8">
        <v>7.0000000000000007E-2</v>
      </c>
      <c r="D8" s="9">
        <v>3</v>
      </c>
      <c r="E8" s="10">
        <f>D8*C8</f>
        <v>0.21000000000000002</v>
      </c>
      <c r="F8" s="9">
        <v>3</v>
      </c>
      <c r="G8" s="10">
        <f>F8*C8</f>
        <v>0.21000000000000002</v>
      </c>
      <c r="H8" s="9">
        <v>3</v>
      </c>
      <c r="I8" s="10">
        <f>H8*C8</f>
        <v>0.21000000000000002</v>
      </c>
      <c r="J8" s="11" t="s">
        <v>30</v>
      </c>
      <c r="K8" s="12" t="s">
        <v>31</v>
      </c>
      <c r="L8" s="13" t="s">
        <v>32</v>
      </c>
      <c r="M8" s="14" t="s">
        <v>21</v>
      </c>
      <c r="N8" s="15" t="s">
        <v>33</v>
      </c>
    </row>
    <row r="9" spans="1:14" ht="42" customHeight="1" x14ac:dyDescent="0.35">
      <c r="A9" s="1" t="s">
        <v>34</v>
      </c>
      <c r="B9" s="16">
        <v>5</v>
      </c>
      <c r="C9" s="17">
        <v>0.05</v>
      </c>
      <c r="D9" s="9">
        <v>3</v>
      </c>
      <c r="E9" s="10">
        <f>D9*C9</f>
        <v>0.15000000000000002</v>
      </c>
      <c r="F9" s="9">
        <v>3</v>
      </c>
      <c r="G9" s="10">
        <f>F9*C9</f>
        <v>0.15000000000000002</v>
      </c>
      <c r="H9" s="9">
        <v>3</v>
      </c>
      <c r="I9" s="10">
        <f>H9*C9</f>
        <v>0.15000000000000002</v>
      </c>
      <c r="J9" s="11" t="s">
        <v>35</v>
      </c>
      <c r="K9" s="12" t="s">
        <v>36</v>
      </c>
      <c r="L9" s="13" t="s">
        <v>37</v>
      </c>
      <c r="M9" s="14" t="s">
        <v>38</v>
      </c>
      <c r="N9" s="15" t="s">
        <v>39</v>
      </c>
    </row>
    <row r="10" spans="1:14" ht="18" customHeight="1" x14ac:dyDescent="0.35">
      <c r="A10" s="51" t="s">
        <v>40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</row>
    <row r="11" spans="1:14" ht="42" customHeight="1" x14ac:dyDescent="0.35">
      <c r="A11" s="1" t="s">
        <v>41</v>
      </c>
      <c r="B11" s="16">
        <v>5</v>
      </c>
      <c r="C11" s="17">
        <v>0.08</v>
      </c>
      <c r="D11" s="9">
        <v>3</v>
      </c>
      <c r="E11" s="10">
        <f t="shared" ref="E11:E17" si="0">D11*C11</f>
        <v>0.24</v>
      </c>
      <c r="F11" s="9">
        <v>3</v>
      </c>
      <c r="G11" s="10">
        <f t="shared" ref="G11:G17" si="1">F11*C11</f>
        <v>0.24</v>
      </c>
      <c r="H11" s="9">
        <v>3</v>
      </c>
      <c r="I11" s="10">
        <f t="shared" ref="I11:I17" si="2">H11*C11</f>
        <v>0.24</v>
      </c>
      <c r="J11" s="11" t="s">
        <v>42</v>
      </c>
      <c r="K11" s="12" t="s">
        <v>43</v>
      </c>
      <c r="L11" s="13" t="s">
        <v>44</v>
      </c>
      <c r="M11" s="14" t="s">
        <v>21</v>
      </c>
      <c r="N11" s="15" t="s">
        <v>45</v>
      </c>
    </row>
    <row r="12" spans="1:14" ht="42" customHeight="1" x14ac:dyDescent="0.35">
      <c r="A12" s="6" t="s">
        <v>46</v>
      </c>
      <c r="B12" s="7">
        <v>5</v>
      </c>
      <c r="C12" s="8">
        <v>0.08</v>
      </c>
      <c r="D12" s="9">
        <v>3</v>
      </c>
      <c r="E12" s="10">
        <f t="shared" si="0"/>
        <v>0.24</v>
      </c>
      <c r="F12" s="9">
        <v>3</v>
      </c>
      <c r="G12" s="10">
        <f t="shared" si="1"/>
        <v>0.24</v>
      </c>
      <c r="H12" s="9">
        <v>3</v>
      </c>
      <c r="I12" s="10">
        <f t="shared" si="2"/>
        <v>0.24</v>
      </c>
      <c r="J12" s="11" t="s">
        <v>47</v>
      </c>
      <c r="K12" s="12" t="s">
        <v>48</v>
      </c>
      <c r="L12" s="13" t="s">
        <v>49</v>
      </c>
      <c r="M12" s="14" t="s">
        <v>50</v>
      </c>
      <c r="N12" s="15" t="s">
        <v>51</v>
      </c>
    </row>
    <row r="13" spans="1:14" ht="42" customHeight="1" x14ac:dyDescent="0.35">
      <c r="A13" s="1" t="s">
        <v>52</v>
      </c>
      <c r="B13" s="16">
        <v>5</v>
      </c>
      <c r="C13" s="17">
        <v>7.0000000000000007E-2</v>
      </c>
      <c r="D13" s="9">
        <v>3</v>
      </c>
      <c r="E13" s="10">
        <f t="shared" si="0"/>
        <v>0.21000000000000002</v>
      </c>
      <c r="F13" s="9">
        <v>3</v>
      </c>
      <c r="G13" s="10">
        <f t="shared" si="1"/>
        <v>0.21000000000000002</v>
      </c>
      <c r="H13" s="9">
        <v>3</v>
      </c>
      <c r="I13" s="10">
        <f t="shared" si="2"/>
        <v>0.21000000000000002</v>
      </c>
      <c r="J13" s="11" t="s">
        <v>53</v>
      </c>
      <c r="K13" s="12" t="s">
        <v>54</v>
      </c>
      <c r="L13" s="13" t="s">
        <v>55</v>
      </c>
      <c r="M13" s="14" t="s">
        <v>56</v>
      </c>
      <c r="N13" s="15" t="s">
        <v>57</v>
      </c>
    </row>
    <row r="14" spans="1:14" ht="42" customHeight="1" x14ac:dyDescent="0.35">
      <c r="A14" s="6" t="s">
        <v>58</v>
      </c>
      <c r="B14" s="7">
        <v>5</v>
      </c>
      <c r="C14" s="8">
        <v>7.0000000000000007E-2</v>
      </c>
      <c r="D14" s="9">
        <v>3</v>
      </c>
      <c r="E14" s="10">
        <f t="shared" si="0"/>
        <v>0.21000000000000002</v>
      </c>
      <c r="F14" s="9">
        <v>3</v>
      </c>
      <c r="G14" s="10">
        <f t="shared" si="1"/>
        <v>0.21000000000000002</v>
      </c>
      <c r="H14" s="9">
        <v>3</v>
      </c>
      <c r="I14" s="10">
        <f t="shared" si="2"/>
        <v>0.21000000000000002</v>
      </c>
      <c r="J14" s="11" t="s">
        <v>59</v>
      </c>
      <c r="K14" s="12" t="s">
        <v>60</v>
      </c>
      <c r="L14" s="13" t="s">
        <v>61</v>
      </c>
      <c r="M14" s="14" t="s">
        <v>62</v>
      </c>
      <c r="N14" s="15" t="s">
        <v>63</v>
      </c>
    </row>
    <row r="15" spans="1:14" ht="42" customHeight="1" x14ac:dyDescent="0.35">
      <c r="A15" s="1" t="s">
        <v>64</v>
      </c>
      <c r="B15" s="16">
        <v>5</v>
      </c>
      <c r="C15" s="17">
        <v>0.06</v>
      </c>
      <c r="D15" s="9">
        <v>3</v>
      </c>
      <c r="E15" s="10">
        <f t="shared" si="0"/>
        <v>0.18</v>
      </c>
      <c r="F15" s="9">
        <v>3</v>
      </c>
      <c r="G15" s="10">
        <f t="shared" si="1"/>
        <v>0.18</v>
      </c>
      <c r="H15" s="9">
        <v>3</v>
      </c>
      <c r="I15" s="10">
        <f t="shared" si="2"/>
        <v>0.18</v>
      </c>
      <c r="J15" s="11" t="s">
        <v>65</v>
      </c>
      <c r="K15" s="12" t="s">
        <v>66</v>
      </c>
      <c r="L15" s="13" t="s">
        <v>67</v>
      </c>
      <c r="M15" s="14" t="s">
        <v>68</v>
      </c>
      <c r="N15" s="15" t="s">
        <v>69</v>
      </c>
    </row>
    <row r="16" spans="1:14" ht="42" customHeight="1" x14ac:dyDescent="0.35">
      <c r="A16" s="6" t="s">
        <v>70</v>
      </c>
      <c r="B16" s="7">
        <v>5</v>
      </c>
      <c r="C16" s="8">
        <v>0.05</v>
      </c>
      <c r="D16" s="9">
        <v>3</v>
      </c>
      <c r="E16" s="10">
        <f t="shared" si="0"/>
        <v>0.15000000000000002</v>
      </c>
      <c r="F16" s="9">
        <v>3</v>
      </c>
      <c r="G16" s="10">
        <f t="shared" si="1"/>
        <v>0.15000000000000002</v>
      </c>
      <c r="H16" s="9">
        <v>3</v>
      </c>
      <c r="I16" s="10">
        <f t="shared" si="2"/>
        <v>0.15000000000000002</v>
      </c>
      <c r="J16" s="11" t="s">
        <v>71</v>
      </c>
      <c r="K16" s="12" t="s">
        <v>72</v>
      </c>
      <c r="L16" s="13" t="s">
        <v>73</v>
      </c>
      <c r="M16" s="14" t="s">
        <v>68</v>
      </c>
      <c r="N16" s="15" t="s">
        <v>74</v>
      </c>
    </row>
    <row r="17" spans="1:14" ht="42" customHeight="1" x14ac:dyDescent="0.35">
      <c r="A17" s="1" t="s">
        <v>75</v>
      </c>
      <c r="B17" s="16">
        <v>5</v>
      </c>
      <c r="C17" s="17">
        <v>0.04</v>
      </c>
      <c r="D17" s="9">
        <v>3</v>
      </c>
      <c r="E17" s="10">
        <f t="shared" si="0"/>
        <v>0.12</v>
      </c>
      <c r="F17" s="9">
        <v>3</v>
      </c>
      <c r="G17" s="10">
        <f t="shared" si="1"/>
        <v>0.12</v>
      </c>
      <c r="H17" s="9">
        <v>3</v>
      </c>
      <c r="I17" s="10">
        <f t="shared" si="2"/>
        <v>0.12</v>
      </c>
      <c r="J17" s="11" t="s">
        <v>76</v>
      </c>
      <c r="K17" s="12" t="s">
        <v>77</v>
      </c>
      <c r="L17" s="13" t="s">
        <v>78</v>
      </c>
      <c r="M17" s="14" t="s">
        <v>79</v>
      </c>
      <c r="N17" s="15" t="s">
        <v>80</v>
      </c>
    </row>
    <row r="18" spans="1:14" ht="18" customHeight="1" x14ac:dyDescent="0.35">
      <c r="A18" s="52" t="s">
        <v>81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</row>
    <row r="19" spans="1:14" ht="42" customHeight="1" x14ac:dyDescent="0.35">
      <c r="A19" s="1" t="s">
        <v>82</v>
      </c>
      <c r="B19" s="16">
        <v>5</v>
      </c>
      <c r="C19" s="17">
        <v>0.08</v>
      </c>
      <c r="D19" s="9">
        <v>3</v>
      </c>
      <c r="E19" s="10">
        <f>D19*C19</f>
        <v>0.24</v>
      </c>
      <c r="F19" s="9">
        <v>3</v>
      </c>
      <c r="G19" s="10">
        <f>F19*C19</f>
        <v>0.24</v>
      </c>
      <c r="H19" s="9">
        <v>3</v>
      </c>
      <c r="I19" s="10">
        <f>H19*C19</f>
        <v>0.24</v>
      </c>
      <c r="J19" s="11" t="s">
        <v>83</v>
      </c>
      <c r="K19" s="12" t="s">
        <v>84</v>
      </c>
      <c r="L19" s="13" t="s">
        <v>85</v>
      </c>
      <c r="M19" s="14" t="s">
        <v>86</v>
      </c>
      <c r="N19" s="15" t="s">
        <v>87</v>
      </c>
    </row>
    <row r="20" spans="1:14" ht="42" customHeight="1" x14ac:dyDescent="0.35">
      <c r="A20" s="6" t="s">
        <v>88</v>
      </c>
      <c r="B20" s="7">
        <v>5</v>
      </c>
      <c r="C20" s="8">
        <v>0.05</v>
      </c>
      <c r="D20" s="9">
        <v>3</v>
      </c>
      <c r="E20" s="10">
        <f>D20*C20</f>
        <v>0.15000000000000002</v>
      </c>
      <c r="F20" s="9">
        <v>3</v>
      </c>
      <c r="G20" s="10">
        <f>F20*C20</f>
        <v>0.15000000000000002</v>
      </c>
      <c r="H20" s="9">
        <v>3</v>
      </c>
      <c r="I20" s="10">
        <f>H20*C20</f>
        <v>0.15000000000000002</v>
      </c>
      <c r="J20" s="11" t="s">
        <v>89</v>
      </c>
      <c r="K20" s="12" t="s">
        <v>90</v>
      </c>
      <c r="L20" s="13" t="s">
        <v>91</v>
      </c>
      <c r="M20" s="14" t="s">
        <v>92</v>
      </c>
      <c r="N20" s="15" t="s">
        <v>93</v>
      </c>
    </row>
    <row r="21" spans="1:14" ht="42" customHeight="1" x14ac:dyDescent="0.35">
      <c r="A21" s="1" t="s">
        <v>94</v>
      </c>
      <c r="B21" s="16">
        <v>5</v>
      </c>
      <c r="C21" s="17">
        <v>0.04</v>
      </c>
      <c r="D21" s="9">
        <v>3</v>
      </c>
      <c r="E21" s="10">
        <f>D21*C21</f>
        <v>0.12</v>
      </c>
      <c r="F21" s="9">
        <v>3</v>
      </c>
      <c r="G21" s="10">
        <f>F21*C21</f>
        <v>0.12</v>
      </c>
      <c r="H21" s="9">
        <v>3</v>
      </c>
      <c r="I21" s="10">
        <f>H21*C21</f>
        <v>0.12</v>
      </c>
      <c r="J21" s="11" t="s">
        <v>95</v>
      </c>
      <c r="K21" s="12" t="s">
        <v>96</v>
      </c>
      <c r="L21" s="13" t="s">
        <v>97</v>
      </c>
      <c r="M21" s="14" t="s">
        <v>98</v>
      </c>
      <c r="N21" s="15" t="s">
        <v>99</v>
      </c>
    </row>
    <row r="22" spans="1:14" ht="18" customHeight="1" x14ac:dyDescent="0.35">
      <c r="A22" s="46" t="s">
        <v>100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</row>
    <row r="23" spans="1:14" ht="42" customHeight="1" x14ac:dyDescent="0.35">
      <c r="A23" s="1" t="s">
        <v>101</v>
      </c>
      <c r="B23" s="16">
        <v>5</v>
      </c>
      <c r="C23" s="17">
        <v>0.04</v>
      </c>
      <c r="D23" s="9">
        <v>3</v>
      </c>
      <c r="E23" s="10">
        <f>D23*C23</f>
        <v>0.12</v>
      </c>
      <c r="F23" s="9">
        <v>3</v>
      </c>
      <c r="G23" s="10">
        <f>F23*C23</f>
        <v>0.12</v>
      </c>
      <c r="H23" s="9">
        <v>3</v>
      </c>
      <c r="I23" s="10">
        <f>H23*C23</f>
        <v>0.12</v>
      </c>
      <c r="J23" s="11" t="s">
        <v>102</v>
      </c>
      <c r="K23" s="12" t="s">
        <v>103</v>
      </c>
      <c r="L23" s="13" t="s">
        <v>104</v>
      </c>
      <c r="M23" s="14" t="s">
        <v>105</v>
      </c>
      <c r="N23" s="15" t="s">
        <v>106</v>
      </c>
    </row>
    <row r="24" spans="1:14" ht="42" customHeight="1" x14ac:dyDescent="0.35">
      <c r="A24" s="6" t="s">
        <v>107</v>
      </c>
      <c r="B24" s="7">
        <v>5</v>
      </c>
      <c r="C24" s="8">
        <v>0.04</v>
      </c>
      <c r="D24" s="9">
        <v>3</v>
      </c>
      <c r="E24" s="10">
        <f>D24*C24</f>
        <v>0.12</v>
      </c>
      <c r="F24" s="9">
        <v>3</v>
      </c>
      <c r="G24" s="10">
        <f>F24*C24</f>
        <v>0.12</v>
      </c>
      <c r="H24" s="9">
        <v>3</v>
      </c>
      <c r="I24" s="10">
        <f>H24*C24</f>
        <v>0.12</v>
      </c>
      <c r="J24" s="11" t="s">
        <v>108</v>
      </c>
      <c r="K24" s="12" t="s">
        <v>109</v>
      </c>
      <c r="L24" s="13" t="s">
        <v>110</v>
      </c>
      <c r="M24" s="14" t="s">
        <v>111</v>
      </c>
      <c r="N24" s="15" t="s">
        <v>112</v>
      </c>
    </row>
    <row r="25" spans="1:14" ht="42" customHeight="1" x14ac:dyDescent="0.35">
      <c r="A25" s="1" t="s">
        <v>113</v>
      </c>
      <c r="B25" s="16">
        <v>5</v>
      </c>
      <c r="C25" s="17">
        <v>0.03</v>
      </c>
      <c r="D25" s="9">
        <v>3</v>
      </c>
      <c r="E25" s="10">
        <f>D25*C25</f>
        <v>0.09</v>
      </c>
      <c r="F25" s="9">
        <v>3</v>
      </c>
      <c r="G25" s="10">
        <f>F25*C25</f>
        <v>0.09</v>
      </c>
      <c r="H25" s="9">
        <v>3</v>
      </c>
      <c r="I25" s="10">
        <f>H25*C25</f>
        <v>0.09</v>
      </c>
      <c r="J25" s="11" t="s">
        <v>114</v>
      </c>
      <c r="K25" s="12" t="s">
        <v>115</v>
      </c>
      <c r="L25" s="13" t="s">
        <v>116</v>
      </c>
      <c r="M25" s="14" t="s">
        <v>117</v>
      </c>
      <c r="N25" s="15" t="s">
        <v>118</v>
      </c>
    </row>
    <row r="26" spans="1:14" ht="18" customHeight="1" x14ac:dyDescent="0.35">
      <c r="A26" s="47" t="s">
        <v>119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</row>
    <row r="27" spans="1:14" ht="42" customHeight="1" x14ac:dyDescent="0.35">
      <c r="A27" s="1" t="s">
        <v>120</v>
      </c>
      <c r="B27" s="16">
        <v>5</v>
      </c>
      <c r="C27" s="17">
        <v>0.05</v>
      </c>
      <c r="D27" s="9">
        <v>3</v>
      </c>
      <c r="E27" s="10">
        <f>D27*C27</f>
        <v>0.15000000000000002</v>
      </c>
      <c r="F27" s="9">
        <v>3</v>
      </c>
      <c r="G27" s="10">
        <f>F27*C27</f>
        <v>0.15000000000000002</v>
      </c>
      <c r="H27" s="9">
        <v>3</v>
      </c>
      <c r="I27" s="10">
        <f>H27*C27</f>
        <v>0.15000000000000002</v>
      </c>
      <c r="J27" s="11" t="s">
        <v>121</v>
      </c>
      <c r="K27" s="12" t="s">
        <v>122</v>
      </c>
      <c r="L27" s="13" t="s">
        <v>123</v>
      </c>
      <c r="M27" s="14" t="s">
        <v>124</v>
      </c>
      <c r="N27" s="15" t="s">
        <v>125</v>
      </c>
    </row>
    <row r="28" spans="1:14" ht="42" customHeight="1" x14ac:dyDescent="0.35">
      <c r="A28" s="6" t="s">
        <v>126</v>
      </c>
      <c r="B28" s="7">
        <v>5</v>
      </c>
      <c r="C28" s="8">
        <v>0.03</v>
      </c>
      <c r="D28" s="9">
        <v>3</v>
      </c>
      <c r="E28" s="10">
        <f>D28*C28</f>
        <v>0.09</v>
      </c>
      <c r="F28" s="9">
        <v>3</v>
      </c>
      <c r="G28" s="10">
        <f>F28*C28</f>
        <v>0.09</v>
      </c>
      <c r="H28" s="9">
        <v>3</v>
      </c>
      <c r="I28" s="10">
        <f>H28*C28</f>
        <v>0.09</v>
      </c>
      <c r="J28" s="11" t="s">
        <v>127</v>
      </c>
      <c r="K28" s="12" t="s">
        <v>128</v>
      </c>
      <c r="L28" s="13" t="s">
        <v>129</v>
      </c>
      <c r="M28" s="14" t="s">
        <v>130</v>
      </c>
      <c r="N28" s="15" t="s">
        <v>131</v>
      </c>
    </row>
    <row r="29" spans="1:14" ht="42" customHeight="1" x14ac:dyDescent="0.35">
      <c r="A29" s="1" t="s">
        <v>132</v>
      </c>
      <c r="B29" s="16">
        <v>5</v>
      </c>
      <c r="C29" s="17">
        <v>0.05</v>
      </c>
      <c r="D29" s="9">
        <v>3</v>
      </c>
      <c r="E29" s="10">
        <f>D29*C29</f>
        <v>0.15000000000000002</v>
      </c>
      <c r="F29" s="9">
        <v>3</v>
      </c>
      <c r="G29" s="10">
        <f>F29*C29</f>
        <v>0.15000000000000002</v>
      </c>
      <c r="H29" s="9">
        <v>3</v>
      </c>
      <c r="I29" s="10">
        <f>H29*C29</f>
        <v>0.15000000000000002</v>
      </c>
      <c r="J29" s="11" t="s">
        <v>133</v>
      </c>
      <c r="K29" s="12" t="s">
        <v>134</v>
      </c>
      <c r="L29" s="13" t="s">
        <v>135</v>
      </c>
      <c r="M29" s="14" t="s">
        <v>124</v>
      </c>
      <c r="N29" s="15" t="s">
        <v>136</v>
      </c>
    </row>
    <row r="30" spans="1:14" ht="18" customHeight="1" x14ac:dyDescent="0.35">
      <c r="A30" s="48" t="s">
        <v>137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</row>
    <row r="31" spans="1:14" ht="42" customHeight="1" x14ac:dyDescent="0.35">
      <c r="A31" s="1" t="s">
        <v>138</v>
      </c>
      <c r="B31" s="16">
        <v>5</v>
      </c>
      <c r="C31" s="17">
        <v>0.1</v>
      </c>
      <c r="D31" s="9">
        <v>3</v>
      </c>
      <c r="E31" s="10">
        <f>D31*C31</f>
        <v>0.30000000000000004</v>
      </c>
      <c r="F31" s="9">
        <v>3</v>
      </c>
      <c r="G31" s="10">
        <f>F31*C31</f>
        <v>0.30000000000000004</v>
      </c>
      <c r="H31" s="9">
        <v>3</v>
      </c>
      <c r="I31" s="10">
        <f>H31*C31</f>
        <v>0.30000000000000004</v>
      </c>
      <c r="J31" s="11" t="s">
        <v>139</v>
      </c>
      <c r="K31" s="12" t="s">
        <v>140</v>
      </c>
      <c r="L31" s="13" t="s">
        <v>141</v>
      </c>
      <c r="M31" s="14" t="s">
        <v>142</v>
      </c>
      <c r="N31" s="15" t="s">
        <v>143</v>
      </c>
    </row>
    <row r="32" spans="1:14" ht="42" customHeight="1" x14ac:dyDescent="0.35">
      <c r="A32" s="6" t="s">
        <v>144</v>
      </c>
      <c r="B32" s="7">
        <v>5</v>
      </c>
      <c r="C32" s="8">
        <v>0.08</v>
      </c>
      <c r="D32" s="9">
        <v>3</v>
      </c>
      <c r="E32" s="10">
        <f>D32*C32</f>
        <v>0.24</v>
      </c>
      <c r="F32" s="9">
        <v>3</v>
      </c>
      <c r="G32" s="10">
        <f>F32*C32</f>
        <v>0.24</v>
      </c>
      <c r="H32" s="9">
        <v>3</v>
      </c>
      <c r="I32" s="10">
        <f>H32*C32</f>
        <v>0.24</v>
      </c>
      <c r="J32" s="11" t="s">
        <v>145</v>
      </c>
      <c r="K32" s="12" t="s">
        <v>146</v>
      </c>
      <c r="L32" s="13" t="s">
        <v>147</v>
      </c>
      <c r="M32" s="14" t="s">
        <v>148</v>
      </c>
      <c r="N32" s="15" t="s">
        <v>149</v>
      </c>
    </row>
    <row r="33" spans="1:14" ht="42" customHeight="1" x14ac:dyDescent="0.35">
      <c r="A33" s="1" t="s">
        <v>150</v>
      </c>
      <c r="B33" s="16">
        <v>5</v>
      </c>
      <c r="C33" s="17">
        <v>7.0000000000000007E-2</v>
      </c>
      <c r="D33" s="9">
        <v>3</v>
      </c>
      <c r="E33" s="10">
        <f>D33*C33</f>
        <v>0.21000000000000002</v>
      </c>
      <c r="F33" s="9">
        <v>3</v>
      </c>
      <c r="G33" s="10">
        <f>F33*C33</f>
        <v>0.21000000000000002</v>
      </c>
      <c r="H33" s="9">
        <v>3</v>
      </c>
      <c r="I33" s="10">
        <f>H33*C33</f>
        <v>0.21000000000000002</v>
      </c>
      <c r="J33" s="11" t="s">
        <v>151</v>
      </c>
      <c r="K33" s="12" t="s">
        <v>152</v>
      </c>
      <c r="L33" s="13" t="s">
        <v>153</v>
      </c>
      <c r="M33" s="14" t="s">
        <v>148</v>
      </c>
      <c r="N33" s="15" t="s">
        <v>154</v>
      </c>
    </row>
    <row r="34" spans="1:14" ht="21.75" customHeight="1" x14ac:dyDescent="0.35">
      <c r="A34" s="18" t="s">
        <v>155</v>
      </c>
      <c r="B34" s="19"/>
      <c r="C34" s="20">
        <f>SUM(C5:C33)</f>
        <v>1.4100000000000006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4" ht="25.5" customHeight="1" x14ac:dyDescent="0.35">
      <c r="A35" s="21" t="s">
        <v>156</v>
      </c>
      <c r="B35" s="18">
        <v>5</v>
      </c>
      <c r="C35" s="18" t="s">
        <v>157</v>
      </c>
      <c r="D35" s="22" t="s">
        <v>158</v>
      </c>
      <c r="E35" s="23">
        <f>SUM(E5:E34)</f>
        <v>4.2300000000000004</v>
      </c>
      <c r="F35" s="22" t="s">
        <v>158</v>
      </c>
      <c r="G35" s="23">
        <f>SUM(G5:G34)</f>
        <v>4.2300000000000004</v>
      </c>
      <c r="H35" s="22" t="s">
        <v>158</v>
      </c>
      <c r="I35" s="23">
        <f>SUM(I5:I34)</f>
        <v>4.2300000000000004</v>
      </c>
      <c r="J35" s="19"/>
      <c r="K35" s="19"/>
      <c r="L35" s="19"/>
      <c r="M35" s="19"/>
      <c r="N35" s="19"/>
    </row>
    <row r="36" spans="1:14" ht="25.5" customHeight="1" x14ac:dyDescent="0.35">
      <c r="A36" s="24" t="s">
        <v>159</v>
      </c>
      <c r="B36" s="25"/>
      <c r="C36" s="25"/>
      <c r="D36" s="26" t="s">
        <v>158</v>
      </c>
      <c r="E36" s="27" t="str">
        <f>IF(E35&gt;=4,"✅ RECOMMEND",IF(E35&gt;=3,"⚠️ CONSIDER WITH CAUTION","❌ DO NOT RECOMMEND"))</f>
        <v>✅ RECOMMEND</v>
      </c>
      <c r="F36" s="26" t="s">
        <v>158</v>
      </c>
      <c r="G36" s="27" t="str">
        <f>IF(G35&gt;=4,"✅ RECOMMEND",IF(G35&gt;=3,"⚠️ CONSIDER WITH CAUTION","❌ DO NOT RECOMMEND"))</f>
        <v>✅ RECOMMEND</v>
      </c>
      <c r="H36" s="26" t="s">
        <v>158</v>
      </c>
      <c r="I36" s="27" t="str">
        <f>IF(I35&gt;=4,"✅ RECOMMEND",IF(I35&gt;=3,"⚠️ CONSIDER WITH CAUTION","❌ DO NOT RECOMMEND"))</f>
        <v>✅ RECOMMEND</v>
      </c>
      <c r="J36" s="26"/>
      <c r="K36" s="26"/>
      <c r="L36" s="26"/>
      <c r="M36" s="26"/>
      <c r="N36" s="26"/>
    </row>
  </sheetData>
  <mergeCells count="8">
    <mergeCell ref="A22:N22"/>
    <mergeCell ref="A26:N26"/>
    <mergeCell ref="A30:N30"/>
    <mergeCell ref="A1:N1"/>
    <mergeCell ref="A2:N2"/>
    <mergeCell ref="A5:N5"/>
    <mergeCell ref="A10:N10"/>
    <mergeCell ref="A18:N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showGridLines="0" zoomScaleNormal="100" workbookViewId="0">
      <selection activeCell="H24" sqref="H24"/>
    </sheetView>
  </sheetViews>
  <sheetFormatPr defaultColWidth="8.6328125" defaultRowHeight="14.5" x14ac:dyDescent="0.35"/>
  <cols>
    <col min="1" max="1" width="22" customWidth="1"/>
    <col min="2" max="2" width="20" customWidth="1"/>
    <col min="3" max="4" width="30" customWidth="1"/>
    <col min="5" max="5" width="22" customWidth="1"/>
  </cols>
  <sheetData>
    <row r="1" spans="1:5" ht="27.75" customHeight="1" x14ac:dyDescent="0.35">
      <c r="A1" s="53" t="s">
        <v>160</v>
      </c>
      <c r="B1" s="53"/>
      <c r="C1" s="53"/>
      <c r="D1" s="53"/>
      <c r="E1" s="53"/>
    </row>
    <row r="3" spans="1:5" ht="19.5" customHeight="1" x14ac:dyDescent="0.35">
      <c r="A3" s="18" t="s">
        <v>161</v>
      </c>
      <c r="B3" s="18" t="s">
        <v>162</v>
      </c>
      <c r="C3" s="18" t="s">
        <v>163</v>
      </c>
      <c r="D3" s="18" t="s">
        <v>164</v>
      </c>
      <c r="E3" s="28" t="s">
        <v>165</v>
      </c>
    </row>
    <row r="4" spans="1:5" ht="19.5" customHeight="1" x14ac:dyDescent="0.35">
      <c r="A4" s="29">
        <v>5</v>
      </c>
      <c r="B4" s="29" t="s">
        <v>166</v>
      </c>
      <c r="C4" s="29" t="s">
        <v>167</v>
      </c>
      <c r="D4" s="29" t="s">
        <v>168</v>
      </c>
      <c r="E4" s="29" t="s">
        <v>165</v>
      </c>
    </row>
    <row r="5" spans="1:5" ht="19.5" customHeight="1" x14ac:dyDescent="0.35">
      <c r="A5" s="29">
        <v>4</v>
      </c>
      <c r="B5" s="29" t="s">
        <v>169</v>
      </c>
      <c r="C5" s="29" t="s">
        <v>170</v>
      </c>
      <c r="D5" s="29" t="s">
        <v>171</v>
      </c>
      <c r="E5" s="29" t="s">
        <v>165</v>
      </c>
    </row>
    <row r="6" spans="1:5" ht="19.5" customHeight="1" x14ac:dyDescent="0.35">
      <c r="A6" s="30">
        <v>3</v>
      </c>
      <c r="B6" s="30" t="s">
        <v>172</v>
      </c>
      <c r="C6" s="30" t="s">
        <v>173</v>
      </c>
      <c r="D6" s="30" t="s">
        <v>174</v>
      </c>
      <c r="E6" s="30" t="s">
        <v>165</v>
      </c>
    </row>
    <row r="7" spans="1:5" ht="19.5" customHeight="1" x14ac:dyDescent="0.35">
      <c r="A7" s="26">
        <v>2</v>
      </c>
      <c r="B7" s="26" t="s">
        <v>175</v>
      </c>
      <c r="C7" s="26" t="s">
        <v>176</v>
      </c>
      <c r="D7" s="26" t="s">
        <v>177</v>
      </c>
      <c r="E7" s="26" t="s">
        <v>165</v>
      </c>
    </row>
    <row r="8" spans="1:5" ht="19.5" customHeight="1" x14ac:dyDescent="0.35">
      <c r="A8" s="31">
        <v>1</v>
      </c>
      <c r="B8" s="31" t="s">
        <v>178</v>
      </c>
      <c r="C8" s="31" t="s">
        <v>179</v>
      </c>
      <c r="D8" s="31" t="s">
        <v>180</v>
      </c>
      <c r="E8" s="31" t="s">
        <v>165</v>
      </c>
    </row>
    <row r="10" spans="1:5" ht="7.5" customHeight="1" x14ac:dyDescent="0.35"/>
    <row r="11" spans="1:5" ht="21.75" customHeight="1" x14ac:dyDescent="0.35">
      <c r="A11" s="54" t="s">
        <v>181</v>
      </c>
      <c r="B11" s="54"/>
      <c r="C11" s="54"/>
      <c r="D11" s="54"/>
      <c r="E11" s="54"/>
    </row>
    <row r="12" spans="1:5" ht="19.5" customHeight="1" x14ac:dyDescent="0.35">
      <c r="A12" s="2" t="s">
        <v>182</v>
      </c>
      <c r="B12" s="2" t="s">
        <v>183</v>
      </c>
      <c r="C12" s="2" t="s">
        <v>184</v>
      </c>
      <c r="D12" s="2" t="s">
        <v>185</v>
      </c>
    </row>
    <row r="13" spans="1:5" ht="19.5" customHeight="1" x14ac:dyDescent="0.35">
      <c r="A13" s="32" t="s">
        <v>186</v>
      </c>
      <c r="B13" s="32" t="s">
        <v>187</v>
      </c>
      <c r="C13" s="32" t="s">
        <v>188</v>
      </c>
      <c r="D13" s="32" t="s">
        <v>189</v>
      </c>
    </row>
    <row r="14" spans="1:5" ht="19.5" customHeight="1" x14ac:dyDescent="0.35">
      <c r="A14" s="33" t="s">
        <v>190</v>
      </c>
      <c r="B14" s="33" t="s">
        <v>166</v>
      </c>
      <c r="C14" s="33" t="s">
        <v>191</v>
      </c>
      <c r="D14" s="33" t="s">
        <v>192</v>
      </c>
    </row>
    <row r="15" spans="1:5" ht="19.5" customHeight="1" x14ac:dyDescent="0.35">
      <c r="A15" s="32" t="s">
        <v>193</v>
      </c>
      <c r="B15" s="32" t="s">
        <v>169</v>
      </c>
      <c r="C15" s="32" t="s">
        <v>194</v>
      </c>
      <c r="D15" s="32" t="s">
        <v>195</v>
      </c>
    </row>
    <row r="16" spans="1:5" ht="19.5" customHeight="1" x14ac:dyDescent="0.35">
      <c r="A16" s="33" t="s">
        <v>196</v>
      </c>
      <c r="B16" s="33" t="s">
        <v>172</v>
      </c>
      <c r="C16" s="33" t="s">
        <v>197</v>
      </c>
      <c r="D16" s="33" t="s">
        <v>198</v>
      </c>
    </row>
    <row r="17" spans="1:5" ht="25" x14ac:dyDescent="0.35">
      <c r="A17" s="32" t="s">
        <v>199</v>
      </c>
      <c r="B17" s="32" t="s">
        <v>200</v>
      </c>
      <c r="C17" s="32" t="s">
        <v>201</v>
      </c>
      <c r="D17" s="32" t="s">
        <v>202</v>
      </c>
    </row>
    <row r="18" spans="1:5" ht="19.5" customHeight="1" x14ac:dyDescent="0.35">
      <c r="A18" s="33" t="s">
        <v>203</v>
      </c>
      <c r="B18" s="33" t="s">
        <v>178</v>
      </c>
      <c r="C18" s="33" t="s">
        <v>204</v>
      </c>
      <c r="D18" s="33" t="s">
        <v>205</v>
      </c>
    </row>
    <row r="20" spans="1:5" ht="7.5" customHeight="1" x14ac:dyDescent="0.35"/>
    <row r="21" spans="1:5" ht="21.75" customHeight="1" x14ac:dyDescent="0.35">
      <c r="A21" s="55" t="s">
        <v>206</v>
      </c>
      <c r="B21" s="55"/>
      <c r="C21" s="55"/>
      <c r="D21" s="55"/>
      <c r="E21" s="55"/>
    </row>
    <row r="22" spans="1:5" ht="19.5" customHeight="1" x14ac:dyDescent="0.35">
      <c r="A22" s="34" t="s">
        <v>207</v>
      </c>
      <c r="B22" s="34" t="s">
        <v>208</v>
      </c>
      <c r="C22" s="34" t="s">
        <v>209</v>
      </c>
      <c r="D22" s="34" t="s">
        <v>210</v>
      </c>
      <c r="E22" s="34" t="s">
        <v>211</v>
      </c>
    </row>
    <row r="23" spans="1:5" ht="23" x14ac:dyDescent="0.35">
      <c r="A23" s="35" t="s">
        <v>212</v>
      </c>
      <c r="B23" s="35" t="s">
        <v>213</v>
      </c>
      <c r="C23" s="35" t="s">
        <v>214</v>
      </c>
      <c r="D23" s="35" t="s">
        <v>215</v>
      </c>
      <c r="E23" s="35" t="s">
        <v>216</v>
      </c>
    </row>
    <row r="24" spans="1:5" ht="19.5" customHeight="1" x14ac:dyDescent="0.35">
      <c r="A24" s="36" t="s">
        <v>217</v>
      </c>
      <c r="B24" s="36" t="s">
        <v>218</v>
      </c>
      <c r="C24" s="36" t="s">
        <v>219</v>
      </c>
      <c r="D24" s="36" t="s">
        <v>220</v>
      </c>
      <c r="E24" s="36" t="s">
        <v>221</v>
      </c>
    </row>
    <row r="25" spans="1:5" ht="23" x14ac:dyDescent="0.35">
      <c r="A25" s="35" t="s">
        <v>222</v>
      </c>
      <c r="B25" s="35" t="s">
        <v>213</v>
      </c>
      <c r="C25" s="35" t="s">
        <v>223</v>
      </c>
      <c r="D25" s="35" t="s">
        <v>219</v>
      </c>
      <c r="E25" s="35" t="s">
        <v>224</v>
      </c>
    </row>
    <row r="26" spans="1:5" ht="19.5" customHeight="1" x14ac:dyDescent="0.35">
      <c r="A26" s="36" t="s">
        <v>225</v>
      </c>
      <c r="B26" s="36" t="s">
        <v>226</v>
      </c>
      <c r="C26" s="36" t="s">
        <v>220</v>
      </c>
      <c r="D26" s="36" t="s">
        <v>227</v>
      </c>
      <c r="E26" s="36" t="s">
        <v>228</v>
      </c>
    </row>
    <row r="27" spans="1:5" ht="19.5" customHeight="1" x14ac:dyDescent="0.35">
      <c r="A27" s="35" t="s">
        <v>229</v>
      </c>
      <c r="B27" s="35" t="s">
        <v>230</v>
      </c>
      <c r="C27" s="35" t="s">
        <v>231</v>
      </c>
      <c r="D27" s="35" t="s">
        <v>214</v>
      </c>
      <c r="E27" s="35" t="s">
        <v>232</v>
      </c>
    </row>
    <row r="28" spans="1:5" ht="19.5" customHeight="1" x14ac:dyDescent="0.35">
      <c r="A28" s="36" t="s">
        <v>233</v>
      </c>
      <c r="B28" s="36" t="s">
        <v>218</v>
      </c>
      <c r="C28" s="36" t="s">
        <v>219</v>
      </c>
      <c r="D28" s="36" t="s">
        <v>234</v>
      </c>
      <c r="E28" s="36" t="s">
        <v>235</v>
      </c>
    </row>
  </sheetData>
  <mergeCells count="3">
    <mergeCell ref="A1:E1"/>
    <mergeCell ref="A11:E11"/>
    <mergeCell ref="A21:E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showGridLines="0" zoomScaleNormal="100" workbookViewId="0">
      <selection activeCell="B13" sqref="B13"/>
    </sheetView>
  </sheetViews>
  <sheetFormatPr defaultColWidth="8.6328125" defaultRowHeight="14.5" x14ac:dyDescent="0.35"/>
  <cols>
    <col min="1" max="1" width="6" customWidth="1"/>
    <col min="2" max="2" width="55" customWidth="1"/>
    <col min="3" max="3" width="40" customWidth="1"/>
  </cols>
  <sheetData>
    <row r="1" spans="1:3" ht="27.75" customHeight="1" x14ac:dyDescent="0.35">
      <c r="A1" s="53" t="s">
        <v>236</v>
      </c>
      <c r="B1" s="53"/>
      <c r="C1" s="53"/>
    </row>
    <row r="3" spans="1:3" ht="30" customHeight="1" x14ac:dyDescent="0.35">
      <c r="A3" s="37" t="s">
        <v>237</v>
      </c>
      <c r="B3" s="56" t="s">
        <v>238</v>
      </c>
      <c r="C3" s="56"/>
    </row>
    <row r="4" spans="1:3" ht="30" customHeight="1" x14ac:dyDescent="0.35">
      <c r="A4" s="37" t="s">
        <v>239</v>
      </c>
      <c r="B4" s="57" t="s">
        <v>240</v>
      </c>
      <c r="C4" s="57"/>
    </row>
    <row r="5" spans="1:3" ht="30" customHeight="1" x14ac:dyDescent="0.35">
      <c r="A5" s="37" t="s">
        <v>241</v>
      </c>
      <c r="B5" s="56" t="s">
        <v>242</v>
      </c>
      <c r="C5" s="56"/>
    </row>
    <row r="6" spans="1:3" ht="30" customHeight="1" x14ac:dyDescent="0.35">
      <c r="A6" s="37" t="s">
        <v>243</v>
      </c>
      <c r="B6" s="57" t="s">
        <v>244</v>
      </c>
      <c r="C6" s="57"/>
    </row>
    <row r="7" spans="1:3" ht="30" customHeight="1" x14ac:dyDescent="0.35">
      <c r="A7" s="37" t="s">
        <v>245</v>
      </c>
      <c r="B7" s="56" t="s">
        <v>246</v>
      </c>
      <c r="C7" s="56"/>
    </row>
    <row r="8" spans="1:3" ht="30" customHeight="1" x14ac:dyDescent="0.35">
      <c r="A8" s="37" t="s">
        <v>247</v>
      </c>
      <c r="B8" s="57" t="s">
        <v>248</v>
      </c>
      <c r="C8" s="57"/>
    </row>
    <row r="9" spans="1:3" ht="30" customHeight="1" x14ac:dyDescent="0.35">
      <c r="A9" s="37" t="s">
        <v>249</v>
      </c>
      <c r="B9" s="56" t="s">
        <v>250</v>
      </c>
      <c r="C9" s="56"/>
    </row>
    <row r="10" spans="1:3" ht="30" customHeight="1" x14ac:dyDescent="0.35">
      <c r="A10" s="37" t="s">
        <v>251</v>
      </c>
      <c r="B10" s="57" t="s">
        <v>252</v>
      </c>
      <c r="C10" s="57"/>
    </row>
  </sheetData>
  <mergeCells count="9">
    <mergeCell ref="B7:C7"/>
    <mergeCell ref="B8:C8"/>
    <mergeCell ref="B9:C9"/>
    <mergeCell ref="B10:C10"/>
    <mergeCell ref="A1:C1"/>
    <mergeCell ref="B3:C3"/>
    <mergeCell ref="B4:C4"/>
    <mergeCell ref="B5:C5"/>
    <mergeCell ref="B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CAAD-8D88-47BC-A541-184F5BD60DF2}">
  <dimension ref="A1:D88"/>
  <sheetViews>
    <sheetView tabSelected="1" topLeftCell="A85" workbookViewId="0">
      <selection activeCell="A94" sqref="A94"/>
    </sheetView>
  </sheetViews>
  <sheetFormatPr defaultRowHeight="14.5" x14ac:dyDescent="0.35"/>
  <cols>
    <col min="1" max="1" width="10.90625" customWidth="1"/>
    <col min="2" max="2" width="18.6328125" customWidth="1"/>
    <col min="3" max="3" width="19.7265625" customWidth="1"/>
    <col min="4" max="4" width="38.90625" customWidth="1"/>
  </cols>
  <sheetData>
    <row r="1" spans="1:4" x14ac:dyDescent="0.35">
      <c r="A1" s="44" t="s">
        <v>253</v>
      </c>
      <c r="B1" s="45"/>
      <c r="C1" s="45"/>
    </row>
    <row r="2" spans="1:4" x14ac:dyDescent="0.35">
      <c r="A2" s="38"/>
    </row>
    <row r="3" spans="1:4" ht="43.5" x14ac:dyDescent="0.35">
      <c r="A3" s="40" t="s">
        <v>161</v>
      </c>
      <c r="B3" s="40" t="s">
        <v>162</v>
      </c>
      <c r="C3" s="40" t="s">
        <v>259</v>
      </c>
      <c r="D3" s="40" t="s">
        <v>260</v>
      </c>
    </row>
    <row r="4" spans="1:4" ht="25.5" customHeight="1" x14ac:dyDescent="0.35">
      <c r="A4" s="43">
        <v>5</v>
      </c>
      <c r="B4" s="41" t="s">
        <v>166</v>
      </c>
      <c r="C4" s="42" t="s">
        <v>261</v>
      </c>
      <c r="D4" s="41" t="s">
        <v>262</v>
      </c>
    </row>
    <row r="5" spans="1:4" ht="17.5" customHeight="1" x14ac:dyDescent="0.35">
      <c r="A5" s="43">
        <v>4</v>
      </c>
      <c r="B5" s="41" t="s">
        <v>169</v>
      </c>
      <c r="C5" s="42" t="s">
        <v>263</v>
      </c>
      <c r="D5" s="41" t="s">
        <v>264</v>
      </c>
    </row>
    <row r="6" spans="1:4" ht="25.5" customHeight="1" x14ac:dyDescent="0.35">
      <c r="A6" s="43">
        <v>3</v>
      </c>
      <c r="B6" s="41" t="s">
        <v>172</v>
      </c>
      <c r="C6" s="42" t="s">
        <v>265</v>
      </c>
      <c r="D6" s="41" t="s">
        <v>266</v>
      </c>
    </row>
    <row r="7" spans="1:4" ht="29" x14ac:dyDescent="0.35">
      <c r="A7" s="43">
        <v>2</v>
      </c>
      <c r="B7" s="41" t="s">
        <v>200</v>
      </c>
      <c r="C7" s="42" t="s">
        <v>267</v>
      </c>
      <c r="D7" s="41" t="s">
        <v>268</v>
      </c>
    </row>
    <row r="8" spans="1:4" ht="22" customHeight="1" x14ac:dyDescent="0.35">
      <c r="A8" s="43">
        <v>1</v>
      </c>
      <c r="B8" s="41" t="s">
        <v>178</v>
      </c>
      <c r="C8" s="42" t="s">
        <v>269</v>
      </c>
      <c r="D8" s="41" t="s">
        <v>270</v>
      </c>
    </row>
    <row r="9" spans="1:4" ht="17.5" customHeight="1" x14ac:dyDescent="0.35">
      <c r="A9" s="42"/>
      <c r="B9" s="41"/>
      <c r="C9" s="42"/>
      <c r="D9" s="41"/>
    </row>
    <row r="10" spans="1:4" x14ac:dyDescent="0.35">
      <c r="A10" s="44" t="s">
        <v>23</v>
      </c>
    </row>
    <row r="11" spans="1:4" x14ac:dyDescent="0.35">
      <c r="A11" s="38"/>
    </row>
    <row r="12" spans="1:4" x14ac:dyDescent="0.35">
      <c r="A12" s="39" t="s">
        <v>254</v>
      </c>
    </row>
    <row r="13" spans="1:4" x14ac:dyDescent="0.35">
      <c r="A13" s="39" t="s">
        <v>255</v>
      </c>
    </row>
    <row r="14" spans="1:4" x14ac:dyDescent="0.35">
      <c r="A14" s="39" t="s">
        <v>256</v>
      </c>
    </row>
    <row r="15" spans="1:4" x14ac:dyDescent="0.35">
      <c r="A15" s="39" t="s">
        <v>257</v>
      </c>
    </row>
    <row r="16" spans="1:4" x14ac:dyDescent="0.35">
      <c r="A16" s="39" t="s">
        <v>258</v>
      </c>
    </row>
    <row r="18" spans="1:3" x14ac:dyDescent="0.35">
      <c r="A18" s="44" t="s">
        <v>276</v>
      </c>
      <c r="B18" s="45"/>
      <c r="C18" s="45"/>
    </row>
    <row r="19" spans="1:3" x14ac:dyDescent="0.35">
      <c r="A19" s="38"/>
    </row>
    <row r="20" spans="1:3" x14ac:dyDescent="0.35">
      <c r="A20" s="39" t="s">
        <v>271</v>
      </c>
    </row>
    <row r="21" spans="1:3" x14ac:dyDescent="0.35">
      <c r="A21" s="39" t="s">
        <v>272</v>
      </c>
    </row>
    <row r="22" spans="1:3" x14ac:dyDescent="0.35">
      <c r="A22" s="39" t="s">
        <v>273</v>
      </c>
    </row>
    <row r="23" spans="1:3" x14ac:dyDescent="0.35">
      <c r="A23" s="39" t="s">
        <v>274</v>
      </c>
    </row>
    <row r="24" spans="1:3" x14ac:dyDescent="0.35">
      <c r="A24" s="39" t="s">
        <v>275</v>
      </c>
    </row>
    <row r="26" spans="1:3" x14ac:dyDescent="0.35">
      <c r="A26" s="44" t="s">
        <v>34</v>
      </c>
      <c r="B26" s="45"/>
    </row>
    <row r="27" spans="1:3" x14ac:dyDescent="0.35">
      <c r="A27" s="38"/>
    </row>
    <row r="28" spans="1:3" x14ac:dyDescent="0.35">
      <c r="A28" s="39" t="s">
        <v>277</v>
      </c>
    </row>
    <row r="29" spans="1:3" x14ac:dyDescent="0.35">
      <c r="A29" s="39" t="s">
        <v>278</v>
      </c>
    </row>
    <row r="30" spans="1:3" x14ac:dyDescent="0.35">
      <c r="A30" s="39" t="s">
        <v>279</v>
      </c>
    </row>
    <row r="31" spans="1:3" x14ac:dyDescent="0.35">
      <c r="A31" s="39" t="s">
        <v>280</v>
      </c>
    </row>
    <row r="32" spans="1:3" x14ac:dyDescent="0.35">
      <c r="A32" s="39" t="s">
        <v>281</v>
      </c>
    </row>
    <row r="34" spans="1:3" x14ac:dyDescent="0.35">
      <c r="A34" s="44" t="s">
        <v>287</v>
      </c>
      <c r="B34" s="45"/>
      <c r="C34" s="45"/>
    </row>
    <row r="35" spans="1:3" x14ac:dyDescent="0.35">
      <c r="A35" s="38"/>
    </row>
    <row r="36" spans="1:3" x14ac:dyDescent="0.35">
      <c r="A36" s="39" t="s">
        <v>282</v>
      </c>
    </row>
    <row r="37" spans="1:3" x14ac:dyDescent="0.35">
      <c r="A37" s="39" t="s">
        <v>283</v>
      </c>
    </row>
    <row r="38" spans="1:3" x14ac:dyDescent="0.35">
      <c r="A38" s="39" t="s">
        <v>284</v>
      </c>
    </row>
    <row r="39" spans="1:3" x14ac:dyDescent="0.35">
      <c r="A39" s="39" t="s">
        <v>285</v>
      </c>
    </row>
    <row r="40" spans="1:3" x14ac:dyDescent="0.35">
      <c r="A40" s="39" t="s">
        <v>286</v>
      </c>
    </row>
    <row r="42" spans="1:3" x14ac:dyDescent="0.35">
      <c r="A42" s="44" t="s">
        <v>46</v>
      </c>
      <c r="B42" s="45"/>
    </row>
    <row r="43" spans="1:3" x14ac:dyDescent="0.35">
      <c r="A43" s="38"/>
    </row>
    <row r="44" spans="1:3" x14ac:dyDescent="0.35">
      <c r="A44" s="39" t="s">
        <v>288</v>
      </c>
    </row>
    <row r="45" spans="1:3" x14ac:dyDescent="0.35">
      <c r="A45" s="39" t="s">
        <v>289</v>
      </c>
    </row>
    <row r="46" spans="1:3" x14ac:dyDescent="0.35">
      <c r="A46" s="39" t="s">
        <v>290</v>
      </c>
    </row>
    <row r="47" spans="1:3" x14ac:dyDescent="0.35">
      <c r="A47" s="39" t="s">
        <v>291</v>
      </c>
    </row>
    <row r="48" spans="1:3" x14ac:dyDescent="0.35">
      <c r="A48" s="39" t="s">
        <v>292</v>
      </c>
    </row>
    <row r="50" spans="1:3" x14ac:dyDescent="0.35">
      <c r="A50" s="44" t="s">
        <v>52</v>
      </c>
      <c r="B50" s="45"/>
    </row>
    <row r="51" spans="1:3" x14ac:dyDescent="0.35">
      <c r="A51" s="38"/>
    </row>
    <row r="52" spans="1:3" x14ac:dyDescent="0.35">
      <c r="A52" s="39" t="s">
        <v>293</v>
      </c>
    </row>
    <row r="53" spans="1:3" x14ac:dyDescent="0.35">
      <c r="A53" s="39" t="s">
        <v>294</v>
      </c>
    </row>
    <row r="54" spans="1:3" x14ac:dyDescent="0.35">
      <c r="A54" s="39" t="s">
        <v>295</v>
      </c>
    </row>
    <row r="55" spans="1:3" x14ac:dyDescent="0.35">
      <c r="A55" s="39" t="s">
        <v>296</v>
      </c>
    </row>
    <row r="56" spans="1:3" x14ac:dyDescent="0.35">
      <c r="A56" s="39" t="s">
        <v>297</v>
      </c>
    </row>
    <row r="58" spans="1:3" x14ac:dyDescent="0.35">
      <c r="A58" s="58" t="s">
        <v>58</v>
      </c>
      <c r="B58" s="58"/>
    </row>
    <row r="59" spans="1:3" x14ac:dyDescent="0.35">
      <c r="A59" s="40"/>
      <c r="B59" s="40"/>
      <c r="C59" s="40"/>
    </row>
    <row r="60" spans="1:3" x14ac:dyDescent="0.35">
      <c r="A60" s="41" t="s">
        <v>298</v>
      </c>
      <c r="B60" s="41" t="s">
        <v>299</v>
      </c>
      <c r="C60" s="41"/>
    </row>
    <row r="61" spans="1:3" ht="29" x14ac:dyDescent="0.35">
      <c r="A61" s="41" t="s">
        <v>300</v>
      </c>
      <c r="B61" s="41" t="s">
        <v>301</v>
      </c>
      <c r="C61" s="41"/>
    </row>
    <row r="62" spans="1:3" ht="29" x14ac:dyDescent="0.35">
      <c r="A62" s="41" t="s">
        <v>302</v>
      </c>
      <c r="B62" s="41" t="s">
        <v>303</v>
      </c>
      <c r="C62" s="41"/>
    </row>
    <row r="63" spans="1:3" ht="29" x14ac:dyDescent="0.35">
      <c r="A63" s="41" t="s">
        <v>304</v>
      </c>
      <c r="B63" s="41" t="s">
        <v>305</v>
      </c>
      <c r="C63" s="41"/>
    </row>
    <row r="64" spans="1:3" x14ac:dyDescent="0.35">
      <c r="A64" s="41" t="s">
        <v>306</v>
      </c>
      <c r="B64" s="41" t="s">
        <v>307</v>
      </c>
      <c r="C64" s="41"/>
    </row>
    <row r="66" spans="1:3" x14ac:dyDescent="0.35">
      <c r="A66" s="58" t="s">
        <v>64</v>
      </c>
      <c r="B66" s="58"/>
    </row>
    <row r="68" spans="1:3" ht="29" x14ac:dyDescent="0.35">
      <c r="A68" s="41" t="s">
        <v>298</v>
      </c>
      <c r="B68" s="41" t="s">
        <v>308</v>
      </c>
      <c r="C68" s="41" t="s">
        <v>309</v>
      </c>
    </row>
    <row r="69" spans="1:3" ht="29" x14ac:dyDescent="0.35">
      <c r="A69" s="41" t="s">
        <v>300</v>
      </c>
      <c r="B69" s="41" t="s">
        <v>310</v>
      </c>
      <c r="C69" s="41" t="s">
        <v>311</v>
      </c>
    </row>
    <row r="70" spans="1:3" ht="29" x14ac:dyDescent="0.35">
      <c r="A70" s="41" t="s">
        <v>302</v>
      </c>
      <c r="B70" s="41" t="s">
        <v>312</v>
      </c>
      <c r="C70" s="41" t="s">
        <v>313</v>
      </c>
    </row>
    <row r="71" spans="1:3" ht="29" x14ac:dyDescent="0.35">
      <c r="A71" s="41" t="s">
        <v>304</v>
      </c>
      <c r="B71" s="41" t="s">
        <v>314</v>
      </c>
      <c r="C71" s="41" t="s">
        <v>315</v>
      </c>
    </row>
    <row r="72" spans="1:3" ht="29" x14ac:dyDescent="0.35">
      <c r="A72" s="41" t="s">
        <v>306</v>
      </c>
      <c r="B72" s="41" t="s">
        <v>316</v>
      </c>
      <c r="C72" s="41" t="s">
        <v>317</v>
      </c>
    </row>
    <row r="74" spans="1:3" x14ac:dyDescent="0.35">
      <c r="A74" s="58" t="s">
        <v>70</v>
      </c>
      <c r="B74" s="58"/>
    </row>
    <row r="75" spans="1:3" x14ac:dyDescent="0.35">
      <c r="A75" s="40"/>
      <c r="B75" s="40"/>
      <c r="C75" s="40"/>
    </row>
    <row r="76" spans="1:3" ht="29" x14ac:dyDescent="0.35">
      <c r="A76" s="41" t="s">
        <v>298</v>
      </c>
      <c r="B76" s="41" t="s">
        <v>318</v>
      </c>
      <c r="C76" s="41" t="s">
        <v>319</v>
      </c>
    </row>
    <row r="77" spans="1:3" ht="29" x14ac:dyDescent="0.35">
      <c r="A77" s="41" t="s">
        <v>300</v>
      </c>
      <c r="B77" s="41" t="s">
        <v>320</v>
      </c>
      <c r="C77" s="41" t="s">
        <v>321</v>
      </c>
    </row>
    <row r="78" spans="1:3" ht="29" x14ac:dyDescent="0.35">
      <c r="A78" s="41" t="s">
        <v>302</v>
      </c>
      <c r="B78" s="41" t="s">
        <v>322</v>
      </c>
      <c r="C78" s="41" t="s">
        <v>323</v>
      </c>
    </row>
    <row r="79" spans="1:3" ht="29" x14ac:dyDescent="0.35">
      <c r="A79" s="41" t="s">
        <v>304</v>
      </c>
      <c r="B79" s="41" t="s">
        <v>324</v>
      </c>
      <c r="C79" s="41" t="s">
        <v>325</v>
      </c>
    </row>
    <row r="80" spans="1:3" ht="29" x14ac:dyDescent="0.35">
      <c r="A80" s="41" t="s">
        <v>306</v>
      </c>
      <c r="B80" s="41" t="s">
        <v>326</v>
      </c>
      <c r="C80" s="41" t="s">
        <v>327</v>
      </c>
    </row>
    <row r="82" spans="1:3" x14ac:dyDescent="0.35">
      <c r="A82" s="59" t="s">
        <v>328</v>
      </c>
    </row>
    <row r="84" spans="1:3" ht="29" x14ac:dyDescent="0.35">
      <c r="A84" s="41" t="s">
        <v>298</v>
      </c>
      <c r="B84" s="41" t="s">
        <v>329</v>
      </c>
      <c r="C84" s="41" t="s">
        <v>330</v>
      </c>
    </row>
    <row r="85" spans="1:3" ht="29" x14ac:dyDescent="0.35">
      <c r="A85" s="41" t="s">
        <v>300</v>
      </c>
      <c r="B85" s="41" t="s">
        <v>331</v>
      </c>
      <c r="C85" s="41" t="s">
        <v>332</v>
      </c>
    </row>
    <row r="86" spans="1:3" ht="29" x14ac:dyDescent="0.35">
      <c r="A86" s="41" t="s">
        <v>302</v>
      </c>
      <c r="B86" s="41" t="s">
        <v>333</v>
      </c>
      <c r="C86" s="41" t="s">
        <v>334</v>
      </c>
    </row>
    <row r="87" spans="1:3" ht="29" x14ac:dyDescent="0.35">
      <c r="A87" s="41" t="s">
        <v>304</v>
      </c>
      <c r="B87" s="41" t="s">
        <v>335</v>
      </c>
      <c r="C87" s="41" t="s">
        <v>336</v>
      </c>
    </row>
    <row r="88" spans="1:3" x14ac:dyDescent="0.35">
      <c r="A88" s="41" t="s">
        <v>306</v>
      </c>
      <c r="B88" s="41" t="s">
        <v>337</v>
      </c>
      <c r="C88" s="41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Scoring Matrix</vt:lpstr>
      <vt:lpstr>Rating Scale &amp; Legend</vt:lpstr>
      <vt:lpstr>How to Use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tanishapapdiwal98@gmail.com</cp:lastModifiedBy>
  <cp:revision>0</cp:revision>
  <dcterms:created xsi:type="dcterms:W3CDTF">2026-03-05T09:17:55Z</dcterms:created>
  <dcterms:modified xsi:type="dcterms:W3CDTF">2026-04-07T15:22:18Z</dcterms:modified>
  <dc:language>en-US</dc:language>
</cp:coreProperties>
</file>